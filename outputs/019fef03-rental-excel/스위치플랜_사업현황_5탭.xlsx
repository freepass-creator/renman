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a4ad7e9264446b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요약" sheetId="1" r:id="Rd006341563e94514"/>
    <x:sheet xmlns:r="http://schemas.openxmlformats.org/officeDocument/2006/relationships" name="운영현황" sheetId="2" r:id="Rea3d02c35c4940c4"/>
    <x:sheet xmlns:r="http://schemas.openxmlformats.org/officeDocument/2006/relationships" name="자산" sheetId="3" r:id="R7e6fb963454d436e"/>
    <x:sheet xmlns:r="http://schemas.openxmlformats.org/officeDocument/2006/relationships" name="계약" sheetId="4" r:id="R96db15fcc11a49d4"/>
    <x:sheet xmlns:r="http://schemas.openxmlformats.org/officeDocument/2006/relationships" name="수납" sheetId="5" r:id="R955fc69b1aab4be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-mm-dd"/>
    <x:numFmt numFmtId="201" formatCode="#,##0;[Red](#,##0);-"/>
    <x:numFmt numFmtId="202" formatCode="yyyy-mm-dd"/>
    <x:numFmt numFmtId="203" formatCode="0.0%"/>
  </x:numFmts>
  <x:fonts count="16">
    <x:font>
      <x:sz val="11"/>
      <x:name val="Carlito"/>
    </x:font>
    <x:font>
      <x:sz val="10"/>
      <x:color rgb="FF18231F"/>
      <x:name val="Noto Sans KR"/>
    </x:font>
    <x:font>
      <x:b/>
      <x:sz val="18"/>
      <x:color rgb="FFFFFFFF"/>
      <x:name val="Noto Sans KR"/>
    </x:font>
    <x:font>
      <x:sz val="10"/>
      <x:color rgb="FF1F6B57"/>
      <x:name val="Noto Sans KR"/>
    </x:font>
    <x:font>
      <x:b/>
      <x:sz val="10"/>
      <x:color rgb="FFFFFFFF"/>
      <x:name val="Noto Sans KR"/>
    </x:font>
    <x:font>
      <x:sz val="10"/>
      <x:color rgb="FF1D4ED8"/>
      <x:name val="Noto Sans KR"/>
    </x:font>
    <x:font>
      <x:sz val="9"/>
      <x:color rgb="FF6D7873"/>
      <x:name val="Noto Sans KR"/>
    </x:font>
    <x:font>
      <x:sz val="10"/>
      <x:color rgb="FF355C93"/>
      <x:name val="Noto Sans KR"/>
    </x:font>
    <x:font>
      <x:b/>
      <x:sz val="10"/>
      <x:color rgb="FF1D4ED8"/>
      <x:name val="Noto Sans KR"/>
    </x:font>
    <x:font>
      <x:b/>
      <x:sz val="10"/>
      <x:color rgb="FF6D7873"/>
      <x:name val="Noto Sans KR"/>
    </x:font>
    <x:font>
      <x:b/>
      <x:sz val="19"/>
      <x:color rgb="FF18231F"/>
      <x:name val="Noto Sans KR"/>
    </x:font>
    <x:font>
      <x:b/>
      <x:sz val="19"/>
      <x:color rgb="FF9A6715"/>
      <x:name val="Noto Sans KR"/>
    </x:font>
    <x:font>
      <x:b/>
      <x:sz val="19"/>
      <x:color rgb="FFB74337"/>
      <x:name val="Noto Sans KR"/>
    </x:font>
    <x:font>
      <x:b/>
      <x:sz val="10"/>
      <x:color rgb="FF18231F"/>
      <x:name val="Noto Sans KR"/>
    </x:font>
    <x:font>
      <x:sz val="10"/>
      <x:color rgb="FFB74337"/>
      <x:name val="Noto Sans KR"/>
    </x:font>
    <x:font>
      <x:sz val="10"/>
      <x:color rgb="FF9A6715"/>
      <x:name val="Noto Sans KR"/>
    </x:font>
  </x:fonts>
  <x:fills count="17">
    <x:fill>
      <x:patternFill patternType="none"/>
    </x:fill>
    <x:fill>
      <x:patternFill patternType="gray125"/>
    </x:fill>
    <x:fill>
      <x:patternFill patternType="solid">
        <x:fgColor rgb="FF10231E"/>
      </x:patternFill>
    </x:fill>
    <x:fill>
      <x:patternFill patternType="solid">
        <x:fgColor rgb="FFE9F2EE"/>
      </x:patternFill>
    </x:fill>
    <x:fill>
      <x:patternFill patternType="solid">
        <x:fgColor rgb="FF1F6B57"/>
      </x:patternFill>
    </x:fill>
    <x:fill>
      <x:patternFill patternType="solid">
        <x:fgColor rgb="FF69756F"/>
      </x:patternFill>
    </x:fill>
    <x:fill>
      <x:patternFill patternType="solid">
        <x:fgColor rgb="FFF4F6F4"/>
      </x:patternFill>
    </x:fill>
    <x:fill>
      <x:patternFill patternType="solid">
        <x:fgColor rgb="FF426A5D"/>
      </x:patternFill>
    </x:fill>
    <x:fill>
      <x:patternFill patternType="solid">
        <x:fgColor rgb="FF6689C2"/>
      </x:patternFill>
    </x:fill>
    <x:fill>
      <x:patternFill patternType="solid">
        <x:fgColor rgb="FF54759F"/>
      </x:patternFill>
    </x:fill>
    <x:fill>
      <x:patternFill patternType="solid">
        <x:fgColor rgb="FF465E78"/>
      </x:patternFill>
    </x:fill>
    <x:fill>
      <x:patternFill patternType="solid">
        <x:fgColor rgb="FF9A6715"/>
      </x:patternFill>
    </x:fill>
    <x:fill>
      <x:patternFill patternType="solid">
        <x:fgColor rgb="FFEAF1FB"/>
      </x:patternFill>
    </x:fill>
    <x:fill>
      <x:patternFill patternType="solid">
        <x:fgColor rgb="FF7EA2D8"/>
      </x:patternFill>
    </x:fill>
    <x:fill>
      <x:patternFill patternType="solid">
        <x:fgColor rgb="FFFFF3D9"/>
      </x:patternFill>
    </x:fill>
    <x:fill>
      <x:patternFill patternType="solid">
        <x:fgColor rgb="FFFBEAE7"/>
      </x:patternFill>
    </x:fill>
    <x:fill>
      <x:patternFill patternType="solid">
        <x:fgColor rgb="FF52615A"/>
      </x:patternFill>
    </x:fill>
  </x:fills>
  <x:borders count="22">
    <x:border/>
    <x:border>
      <x:bottom style="thin">
        <x:color rgb="FF91A098"/>
      </x:bottom>
    </x:border>
    <x:border>
      <x:right style="thin">
        <x:color rgb="FF52615A"/>
      </x:right>
      <x:bottom style="medium">
        <x:color rgb="FF91A098"/>
      </x:bottom>
    </x:border>
    <x:border>
      <x:left style="thin">
        <x:color rgb="FF52615A"/>
      </x:left>
      <x:right style="thin">
        <x:color rgb="FF52615A"/>
      </x:right>
      <x:bottom style="medium">
        <x:color rgb="FF91A098"/>
      </x:bottom>
    </x:border>
    <x:border>
      <x:left style="thin">
        <x:color rgb="FF52615A"/>
      </x:left>
      <x:bottom style="medium">
        <x:color rgb="FF91A098"/>
      </x:bottom>
    </x:border>
    <x:border>
      <x:bottom style="medium">
        <x:color rgb="FF91A098"/>
      </x:bottom>
    </x:border>
    <x:border>
      <x:bottom style="thin">
        <x:color rgb="FFE3E8E5"/>
      </x:bottom>
    </x:border>
    <x:border>
      <x:top style="thin">
        <x:color rgb="FFE3E8E5"/>
      </x:top>
      <x:bottom style="thin">
        <x:color rgb="FFE3E8E5"/>
      </x:bottom>
    </x:border>
    <x:border>
      <x:top style="thin">
        <x:color rgb="FFE3E8E5"/>
      </x:top>
    </x:border>
    <x:border>
      <x:right style="thin">
        <x:color rgb="FF52615A"/>
      </x:right>
    </x:border>
    <x:border>
      <x:left style="thin">
        <x:color rgb="FF52615A"/>
      </x:left>
      <x:right style="thin">
        <x:color rgb="FF52615A"/>
      </x:right>
    </x:border>
    <x:border>
      <x:left style="thin">
        <x:color rgb="FF52615A"/>
      </x:left>
    </x:border>
    <x:border>
      <x:left style="thin">
        <x:color rgb="FFCDD5D0"/>
      </x:left>
      <x:top style="thin">
        <x:color rgb="FFCDD5D0"/>
      </x:top>
    </x:border>
    <x:border>
      <x:top style="thin">
        <x:color rgb="FFCDD5D0"/>
      </x:top>
    </x:border>
    <x:border>
      <x:right style="thin">
        <x:color rgb="FFCDD5D0"/>
      </x:right>
      <x:top style="thin">
        <x:color rgb="FFCDD5D0"/>
      </x:top>
    </x:border>
    <x:border>
      <x:left style="thin">
        <x:color rgb="FFCDD5D0"/>
      </x:left>
    </x:border>
    <x:border>
      <x:right style="thin">
        <x:color rgb="FFCDD5D0"/>
      </x:right>
    </x:border>
    <x:border>
      <x:left style="thin">
        <x:color rgb="FFCDD5D0"/>
      </x:left>
      <x:bottom style="thin">
        <x:color rgb="FFCDD5D0"/>
      </x:bottom>
    </x:border>
    <x:border>
      <x:bottom style="thin">
        <x:color rgb="FFCDD5D0"/>
      </x:bottom>
    </x:border>
    <x:border>
      <x:right style="thin">
        <x:color rgb="FFCDD5D0"/>
      </x:right>
      <x:bottom style="thin">
        <x:color rgb="FFCDD5D0"/>
      </x:bottom>
    </x:border>
    <x:border>
      <x:left style="medium">
        <x:color rgb="FFB74337"/>
      </x:left>
    </x:border>
    <x:border>
      <x:left style="medium">
        <x:color rgb="FF9A6715"/>
      </x:left>
    </x:border>
  </x:borders>
  <x:cellStyleXfs count="1">
    <x:xf numFmtId="0" fontId="0" fillId="0" borderId="0"/>
  </x:cellStyleXfs>
  <x:cellXfs count="406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/>
    <x:xf numFmtId="0" fontId="4" fillId="2" borderId="2" xfId="0" applyNumberFormat="1" applyFont="1" applyFill="1" applyBorder="1"/>
    <x:xf numFmtId="0" fontId="4" fillId="2" borderId="3" xfId="0" applyNumberFormat="1" applyFont="1" applyFill="1" applyBorder="1"/>
    <x:xf numFmtId="0" fontId="4" fillId="2" borderId="4" xfId="0" applyNumberFormat="1" applyFont="1" applyFill="1" applyBorder="1"/>
    <x:xf numFmtId="0" fontId="4" fillId="2" borderId="2" xfId="0" applyNumberFormat="1" applyFont="1" applyFill="1" applyBorder="1" applyAlignment="1">
      <x:alignment wrapText="1"/>
    </x:xf>
    <x:xf numFmtId="0" fontId="4" fillId="2" borderId="3" xfId="0" applyNumberFormat="1" applyFont="1" applyFill="1" applyBorder="1" applyAlignment="1">
      <x:alignment wrapText="1"/>
    </x:xf>
    <x:xf numFmtId="0" fontId="4" fillId="2" borderId="4" xfId="0" applyNumberFormat="1" applyFont="1" applyFill="1" applyBorder="1" applyAlignment="1">
      <x:alignment wrapText="1"/>
    </x:xf>
    <x:xf numFmtId="0" fontId="4" fillId="2" borderId="2" xfId="0" applyNumberFormat="1" applyFont="1" applyFill="1" applyBorder="1" applyAlignment="1">
      <x:alignment horizontal="center" wrapText="1"/>
    </x:xf>
    <x:xf numFmtId="0" fontId="4" fillId="2" borderId="3" xfId="0" applyNumberFormat="1" applyFont="1" applyFill="1" applyBorder="1" applyAlignment="1">
      <x:alignment horizontal="center" wrapText="1"/>
    </x:xf>
    <x:xf numFmtId="0" fontId="4" fillId="2" borderId="4" xfId="0" applyNumberFormat="1" applyFont="1" applyFill="1" applyBorder="1" applyAlignment="1">
      <x:alignment horizontal="center" wrapText="1"/>
    </x:xf>
    <x:xf numFmtId="0" fontId="4" fillId="2" borderId="2" xfId="0" applyNumberFormat="1" applyFont="1" applyFill="1" applyBorder="1" applyAlignment="1">
      <x:alignment horizontal="center" vertical="center" wrapText="1"/>
    </x:xf>
    <x:xf numFmtId="0" fontId="4" fillId="2" borderId="3" xfId="0" applyNumberFormat="1" applyFont="1" applyFill="1" applyBorder="1" applyAlignment="1">
      <x:alignment horizontal="center" vertical="center" wrapText="1"/>
    </x:xf>
    <x:xf numFmtId="0" fontId="4" fillId="2" borderId="4" xfId="0" applyNumberFormat="1" applyFont="1" applyFill="1" applyBorder="1" applyAlignment="1">
      <x:alignment horizontal="center" vertical="center" wrapText="1"/>
    </x:xf>
    <x:xf numFmtId="0" fontId="1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5" xfId="0" applyNumberFormat="1" applyFont="1" applyFill="1" applyBorder="1"/>
    <x:xf numFmtId="0" fontId="4" fillId="5" borderId="5" xfId="0" applyNumberFormat="1" applyFont="1" applyFill="1" applyBorder="1" applyAlignment="1">
      <x:alignment wrapText="1"/>
    </x:xf>
    <x:xf numFmtId="0" fontId="4" fillId="5" borderId="5" xfId="0" applyNumberFormat="1" applyFont="1" applyFill="1" applyBorder="1" applyAlignment="1">
      <x:alignment horizontal="center" wrapText="1"/>
    </x:xf>
    <x:xf numFmtId="0" fontId="4" fillId="5" borderId="5" xfId="0" applyNumberFormat="1" applyFont="1" applyFill="1" applyBorder="1" applyAlignment="1">
      <x:alignment horizontal="center" vertical="center" wrapText="1"/>
    </x:xf>
    <x:xf numFmtId="0" fontId="1" fillId="0" borderId="6" xfId="0" applyNumberFormat="1" applyFont="1" applyFill="1" applyBorder="1"/>
    <x:xf numFmtId="0" fontId="1" fillId="0" borderId="7" xfId="0" applyNumberFormat="1" applyFont="1" applyFill="1" applyBorder="1"/>
    <x:xf numFmtId="0" fontId="1" fillId="0" borderId="8" xfId="0" applyNumberFormat="1" applyFont="1" applyFill="1" applyBorder="1"/>
    <x:xf numFmtId="0" fontId="1" fillId="0" borderId="6" xfId="0" applyNumberFormat="1" applyFont="1" applyFill="1" applyBorder="1" applyAlignment="1">
      <x:alignment vertical="center"/>
    </x:xf>
    <x:xf numFmtId="0" fontId="1" fillId="0" borderId="7" xfId="0" applyNumberFormat="1" applyFont="1" applyFill="1" applyBorder="1" applyAlignment="1">
      <x:alignment vertical="center"/>
    </x:xf>
    <x:xf numFmtId="0" fontId="1" fillId="0" borderId="8" xfId="0" applyNumberFormat="1" applyFont="1" applyFill="1" applyBorder="1" applyAlignment="1">
      <x:alignment vertical="center"/>
    </x:xf>
    <x:xf numFmtId="0" fontId="5" fillId="0" borderId="6" xfId="0" applyNumberFormat="1" applyFont="1" applyFill="1" applyBorder="1" applyAlignment="1">
      <x:alignment vertical="center"/>
    </x:xf>
    <x:xf numFmtId="0" fontId="5" fillId="0" borderId="7" xfId="0" applyNumberFormat="1" applyFont="1" applyFill="1" applyBorder="1" applyAlignment="1">
      <x:alignment vertical="center"/>
    </x:xf>
    <x:xf numFmtId="0" fontId="5" fillId="0" borderId="8" xfId="0" applyNumberFormat="1" applyFont="1" applyFill="1" applyBorder="1" applyAlignment="1">
      <x:alignment vertical="center"/>
    </x:xf>
    <x:xf numFmtId="0" fontId="5" fillId="0" borderId="6" xfId="0" applyNumberFormat="1" applyFont="1" applyFill="1" applyBorder="1" applyAlignment="1">
      <x:alignment horizontal="center" vertical="center"/>
    </x:xf>
    <x:xf numFmtId="0" fontId="5" fillId="0" borderId="7" xfId="0" applyNumberFormat="1" applyFont="1" applyFill="1" applyBorder="1" applyAlignment="1">
      <x:alignment horizontal="center" vertical="center"/>
    </x:xf>
    <x:xf numFmtId="0" fontId="5" fillId="0" borderId="8" xfId="0" applyNumberFormat="1" applyFont="1" applyFill="1" applyBorder="1" applyAlignment="1">
      <x:alignment horizontal="center" vertical="center"/>
    </x:xf>
    <x:xf numFmtId="200" fontId="5" fillId="0" borderId="6" xfId="0" applyNumberFormat="1" applyFont="1" applyFill="1" applyBorder="1" applyAlignment="1">
      <x:alignment horizontal="center" vertical="center"/>
    </x:xf>
    <x:xf numFmtId="200" fontId="5" fillId="0" borderId="7" xfId="0" applyNumberFormat="1" applyFont="1" applyFill="1" applyBorder="1" applyAlignment="1">
      <x:alignment horizontal="center" vertical="center"/>
    </x:xf>
    <x:xf numFmtId="200" fontId="5" fillId="0" borderId="8" xfId="0" applyNumberFormat="1" applyFont="1" applyFill="1" applyBorder="1" applyAlignment="1">
      <x:alignment horizontal="center" vertical="center"/>
    </x:xf>
    <x:xf numFmtId="0" fontId="1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horizontal="center"/>
    </x:xf>
    <x:xf numFmtId="0" fontId="4" fillId="2" borderId="9" xfId="0" applyNumberFormat="1" applyFont="1" applyFill="1" applyBorder="1"/>
    <x:xf numFmtId="0" fontId="4" fillId="2" borderId="10" xfId="0" applyNumberFormat="1" applyFont="1" applyFill="1" applyBorder="1"/>
    <x:xf numFmtId="0" fontId="4" fillId="2" borderId="11" xfId="0" applyNumberFormat="1" applyFont="1" applyFill="1" applyBorder="1"/>
    <x:xf numFmtId="0" fontId="4" fillId="2" borderId="9" xfId="0" applyNumberFormat="1" applyFont="1" applyFill="1" applyBorder="1" applyAlignment="1">
      <x:alignment wrapText="1"/>
    </x:xf>
    <x:xf numFmtId="0" fontId="4" fillId="2" borderId="10" xfId="0" applyNumberFormat="1" applyFont="1" applyFill="1" applyBorder="1" applyAlignment="1">
      <x:alignment wrapText="1"/>
    </x:xf>
    <x:xf numFmtId="0" fontId="4" fillId="2" borderId="11" xfId="0" applyNumberFormat="1" applyFont="1" applyFill="1" applyBorder="1" applyAlignment="1">
      <x:alignment wrapText="1"/>
    </x:xf>
    <x:xf numFmtId="0" fontId="4" fillId="2" borderId="9" xfId="0" applyNumberFormat="1" applyFont="1" applyFill="1" applyBorder="1" applyAlignment="1">
      <x:alignment horizontal="center" wrapText="1"/>
    </x:xf>
    <x:xf numFmtId="0" fontId="4" fillId="2" borderId="10" xfId="0" applyNumberFormat="1" applyFont="1" applyFill="1" applyBorder="1" applyAlignment="1">
      <x:alignment horizontal="center" wrapText="1"/>
    </x:xf>
    <x:xf numFmtId="0" fontId="4" fillId="2" borderId="11" xfId="0" applyNumberFormat="1" applyFont="1" applyFill="1" applyBorder="1" applyAlignment="1">
      <x:alignment horizontal="center" wrapText="1"/>
    </x:xf>
    <x:xf numFmtId="0" fontId="4" fillId="2" borderId="9" xfId="0" applyNumberFormat="1" applyFont="1" applyFill="1" applyBorder="1" applyAlignment="1">
      <x:alignment horizontal="center" vertical="center" wrapText="1"/>
    </x:xf>
    <x:xf numFmtId="0" fontId="4" fillId="2" borderId="10" xfId="0" applyNumberFormat="1" applyFont="1" applyFill="1" applyBorder="1" applyAlignment="1">
      <x:alignment horizontal="center" vertical="center" wrapText="1"/>
    </x:xf>
    <x:xf numFmtId="0" fontId="4" fillId="2" borderId="11" xfId="0" applyNumberFormat="1" applyFont="1" applyFill="1" applyBorder="1" applyAlignment="1">
      <x:alignment horizontal="center" vertical="center" wrapText="1"/>
    </x:xf>
    <x:xf numFmtId="0" fontId="4" fillId="4" borderId="9" xfId="0" applyNumberFormat="1" applyFont="1" applyFill="1" applyBorder="1"/>
    <x:xf numFmtId="0" fontId="4" fillId="4" borderId="10" xfId="0" applyNumberFormat="1" applyFont="1" applyFill="1" applyBorder="1"/>
    <x:xf numFmtId="0" fontId="4" fillId="4" borderId="11" xfId="0" applyNumberFormat="1" applyFont="1" applyFill="1" applyBorder="1"/>
    <x:xf numFmtId="0" fontId="4" fillId="4" borderId="2" xfId="0" applyNumberFormat="1" applyFont="1" applyFill="1" applyBorder="1"/>
    <x:xf numFmtId="0" fontId="4" fillId="4" borderId="3" xfId="0" applyNumberFormat="1" applyFont="1" applyFill="1" applyBorder="1"/>
    <x:xf numFmtId="0" fontId="4" fillId="4" borderId="4" xfId="0" applyNumberFormat="1" applyFont="1" applyFill="1" applyBorder="1"/>
    <x:xf numFmtId="0" fontId="4" fillId="4" borderId="9" xfId="0" applyNumberFormat="1" applyFont="1" applyFill="1" applyBorder="1" applyAlignment="1">
      <x:alignment wrapText="1"/>
    </x:xf>
    <x:xf numFmtId="0" fontId="4" fillId="4" borderId="10" xfId="0" applyNumberFormat="1" applyFont="1" applyFill="1" applyBorder="1" applyAlignment="1">
      <x:alignment wrapText="1"/>
    </x:xf>
    <x:xf numFmtId="0" fontId="4" fillId="4" borderId="11" xfId="0" applyNumberFormat="1" applyFont="1" applyFill="1" applyBorder="1" applyAlignment="1">
      <x:alignment wrapText="1"/>
    </x:xf>
    <x:xf numFmtId="0" fontId="4" fillId="4" borderId="2" xfId="0" applyNumberFormat="1" applyFont="1" applyFill="1" applyBorder="1" applyAlignment="1">
      <x:alignment wrapText="1"/>
    </x:xf>
    <x:xf numFmtId="0" fontId="4" fillId="4" borderId="3" xfId="0" applyNumberFormat="1" applyFont="1" applyFill="1" applyBorder="1" applyAlignment="1">
      <x:alignment wrapText="1"/>
    </x:xf>
    <x:xf numFmtId="0" fontId="4" fillId="4" borderId="4" xfId="0" applyNumberFormat="1" applyFont="1" applyFill="1" applyBorder="1" applyAlignment="1">
      <x:alignment wrapText="1"/>
    </x:xf>
    <x:xf numFmtId="0" fontId="4" fillId="4" borderId="9" xfId="0" applyNumberFormat="1" applyFont="1" applyFill="1" applyBorder="1" applyAlignment="1">
      <x:alignment horizontal="center" wrapText="1"/>
    </x:xf>
    <x:xf numFmtId="0" fontId="4" fillId="4" borderId="10" xfId="0" applyNumberFormat="1" applyFont="1" applyFill="1" applyBorder="1" applyAlignment="1">
      <x:alignment horizontal="center" wrapText="1"/>
    </x:xf>
    <x:xf numFmtId="0" fontId="4" fillId="4" borderId="11" xfId="0" applyNumberFormat="1" applyFont="1" applyFill="1" applyBorder="1" applyAlignment="1">
      <x:alignment horizontal="center" wrapText="1"/>
    </x:xf>
    <x:xf numFmtId="0" fontId="4" fillId="4" borderId="2" xfId="0" applyNumberFormat="1" applyFont="1" applyFill="1" applyBorder="1" applyAlignment="1">
      <x:alignment horizontal="center" wrapText="1"/>
    </x:xf>
    <x:xf numFmtId="0" fontId="4" fillId="4" borderId="3" xfId="0" applyNumberFormat="1" applyFont="1" applyFill="1" applyBorder="1" applyAlignment="1">
      <x:alignment horizontal="center" wrapText="1"/>
    </x:xf>
    <x:xf numFmtId="0" fontId="4" fillId="4" borderId="4" xfId="0" applyNumberFormat="1" applyFont="1" applyFill="1" applyBorder="1" applyAlignment="1">
      <x:alignment horizontal="center" wrapText="1"/>
    </x:xf>
    <x:xf numFmtId="0" fontId="4" fillId="4" borderId="9" xfId="0" applyNumberFormat="1" applyFont="1" applyFill="1" applyBorder="1" applyAlignment="1">
      <x:alignment horizontal="center" vertical="center" wrapText="1"/>
    </x:xf>
    <x:xf numFmtId="0" fontId="4" fillId="4" borderId="10" xfId="0" applyNumberFormat="1" applyFont="1" applyFill="1" applyBorder="1" applyAlignment="1">
      <x:alignment horizontal="center" vertical="center" wrapText="1"/>
    </x:xf>
    <x:xf numFmtId="0" fontId="4" fillId="4" borderId="11" xfId="0" applyNumberFormat="1" applyFont="1" applyFill="1" applyBorder="1" applyAlignment="1">
      <x:alignment horizontal="center" vertical="center" wrapText="1"/>
    </x:xf>
    <x:xf numFmtId="0" fontId="4" fillId="4" borderId="2" xfId="0" applyNumberFormat="1" applyFont="1" applyFill="1" applyBorder="1" applyAlignment="1">
      <x:alignment horizontal="center" vertical="center" wrapText="1"/>
    </x:xf>
    <x:xf numFmtId="0" fontId="4" fillId="4" borderId="3" xfId="0" applyNumberFormat="1" applyFont="1" applyFill="1" applyBorder="1" applyAlignment="1">
      <x:alignment horizontal="center" vertical="center" wrapText="1"/>
    </x:xf>
    <x:xf numFmtId="0" fontId="4" fillId="4" borderId="4" xfId="0" applyNumberFormat="1" applyFont="1" applyFill="1" applyBorder="1" applyAlignment="1">
      <x:alignment horizontal="center" vertical="center" wrapText="1"/>
    </x:xf>
    <x:xf numFmtId="0" fontId="1" fillId="7" borderId="0" xfId="0" applyNumberFormat="1" applyFont="1" applyFill="1" applyBorder="1"/>
    <x:xf numFmtId="0" fontId="4" fillId="7" borderId="0" xfId="0" applyNumberFormat="1" applyFont="1" applyFill="1" applyBorder="1"/>
    <x:xf numFmtId="0" fontId="4" fillId="7" borderId="9" xfId="0" applyNumberFormat="1" applyFont="1" applyFill="1" applyBorder="1"/>
    <x:xf numFmtId="0" fontId="4" fillId="7" borderId="10" xfId="0" applyNumberFormat="1" applyFont="1" applyFill="1" applyBorder="1"/>
    <x:xf numFmtId="0" fontId="4" fillId="7" borderId="11" xfId="0" applyNumberFormat="1" applyFont="1" applyFill="1" applyBorder="1"/>
    <x:xf numFmtId="0" fontId="4" fillId="7" borderId="2" xfId="0" applyNumberFormat="1" applyFont="1" applyFill="1" applyBorder="1"/>
    <x:xf numFmtId="0" fontId="4" fillId="7" borderId="3" xfId="0" applyNumberFormat="1" applyFont="1" applyFill="1" applyBorder="1"/>
    <x:xf numFmtId="0" fontId="4" fillId="7" borderId="4" xfId="0" applyNumberFormat="1" applyFont="1" applyFill="1" applyBorder="1"/>
    <x:xf numFmtId="0" fontId="4" fillId="7" borderId="9" xfId="0" applyNumberFormat="1" applyFont="1" applyFill="1" applyBorder="1" applyAlignment="1">
      <x:alignment wrapText="1"/>
    </x:xf>
    <x:xf numFmtId="0" fontId="4" fillId="7" borderId="10" xfId="0" applyNumberFormat="1" applyFont="1" applyFill="1" applyBorder="1" applyAlignment="1">
      <x:alignment wrapText="1"/>
    </x:xf>
    <x:xf numFmtId="0" fontId="4" fillId="7" borderId="11" xfId="0" applyNumberFormat="1" applyFont="1" applyFill="1" applyBorder="1" applyAlignment="1">
      <x:alignment wrapText="1"/>
    </x:xf>
    <x:xf numFmtId="0" fontId="4" fillId="7" borderId="2" xfId="0" applyNumberFormat="1" applyFont="1" applyFill="1" applyBorder="1" applyAlignment="1">
      <x:alignment wrapText="1"/>
    </x:xf>
    <x:xf numFmtId="0" fontId="4" fillId="7" borderId="3" xfId="0" applyNumberFormat="1" applyFont="1" applyFill="1" applyBorder="1" applyAlignment="1">
      <x:alignment wrapText="1"/>
    </x:xf>
    <x:xf numFmtId="0" fontId="4" fillId="7" borderId="4" xfId="0" applyNumberFormat="1" applyFont="1" applyFill="1" applyBorder="1" applyAlignment="1">
      <x:alignment wrapText="1"/>
    </x:xf>
    <x:xf numFmtId="0" fontId="4" fillId="7" borderId="9" xfId="0" applyNumberFormat="1" applyFont="1" applyFill="1" applyBorder="1" applyAlignment="1">
      <x:alignment horizontal="center" wrapText="1"/>
    </x:xf>
    <x:xf numFmtId="0" fontId="4" fillId="7" borderId="10" xfId="0" applyNumberFormat="1" applyFont="1" applyFill="1" applyBorder="1" applyAlignment="1">
      <x:alignment horizontal="center" wrapText="1"/>
    </x:xf>
    <x:xf numFmtId="0" fontId="4" fillId="7" borderId="11" xfId="0" applyNumberFormat="1" applyFont="1" applyFill="1" applyBorder="1" applyAlignment="1">
      <x:alignment horizontal="center" wrapText="1"/>
    </x:xf>
    <x:xf numFmtId="0" fontId="4" fillId="7" borderId="2" xfId="0" applyNumberFormat="1" applyFont="1" applyFill="1" applyBorder="1" applyAlignment="1">
      <x:alignment horizontal="center" wrapText="1"/>
    </x:xf>
    <x:xf numFmtId="0" fontId="4" fillId="7" borderId="3" xfId="0" applyNumberFormat="1" applyFont="1" applyFill="1" applyBorder="1" applyAlignment="1">
      <x:alignment horizontal="center" wrapText="1"/>
    </x:xf>
    <x:xf numFmtId="0" fontId="4" fillId="7" borderId="4" xfId="0" applyNumberFormat="1" applyFont="1" applyFill="1" applyBorder="1" applyAlignment="1">
      <x:alignment horizontal="center" wrapText="1"/>
    </x:xf>
    <x:xf numFmtId="0" fontId="4" fillId="7" borderId="9" xfId="0" applyNumberFormat="1" applyFont="1" applyFill="1" applyBorder="1" applyAlignment="1">
      <x:alignment horizontal="center" vertical="center" wrapText="1"/>
    </x:xf>
    <x:xf numFmtId="0" fontId="4" fillId="7" borderId="10" xfId="0" applyNumberFormat="1" applyFont="1" applyFill="1" applyBorder="1" applyAlignment="1">
      <x:alignment horizontal="center" vertical="center" wrapText="1"/>
    </x:xf>
    <x:xf numFmtId="0" fontId="4" fillId="7" borderId="11" xfId="0" applyNumberFormat="1" applyFont="1" applyFill="1" applyBorder="1" applyAlignment="1">
      <x:alignment horizontal="center" vertical="center" wrapText="1"/>
    </x:xf>
    <x:xf numFmtId="0" fontId="4" fillId="7" borderId="2" xfId="0" applyNumberFormat="1" applyFont="1" applyFill="1" applyBorder="1" applyAlignment="1">
      <x:alignment horizontal="center" vertical="center" wrapText="1"/>
    </x:xf>
    <x:xf numFmtId="0" fontId="4" fillId="7" borderId="3" xfId="0" applyNumberFormat="1" applyFont="1" applyFill="1" applyBorder="1" applyAlignment="1">
      <x:alignment horizontal="center" vertical="center" wrapText="1"/>
    </x:xf>
    <x:xf numFmtId="0" fontId="4" fillId="7" borderId="4" xfId="0" applyNumberFormat="1" applyFont="1" applyFill="1" applyBorder="1" applyAlignment="1">
      <x:alignment horizontal="center" vertical="center" wrapText="1"/>
    </x:xf>
    <x:xf numFmtId="0" fontId="4" fillId="5" borderId="9" xfId="0" applyNumberFormat="1" applyFont="1" applyFill="1" applyBorder="1"/>
    <x:xf numFmtId="0" fontId="4" fillId="5" borderId="10" xfId="0" applyNumberFormat="1" applyFont="1" applyFill="1" applyBorder="1"/>
    <x:xf numFmtId="0" fontId="4" fillId="5" borderId="11" xfId="0" applyNumberFormat="1" applyFont="1" applyFill="1" applyBorder="1"/>
    <x:xf numFmtId="0" fontId="4" fillId="5" borderId="2" xfId="0" applyNumberFormat="1" applyFont="1" applyFill="1" applyBorder="1"/>
    <x:xf numFmtId="0" fontId="4" fillId="5" borderId="3" xfId="0" applyNumberFormat="1" applyFont="1" applyFill="1" applyBorder="1"/>
    <x:xf numFmtId="0" fontId="4" fillId="5" borderId="4" xfId="0" applyNumberFormat="1" applyFont="1" applyFill="1" applyBorder="1"/>
    <x:xf numFmtId="0" fontId="4" fillId="5" borderId="9" xfId="0" applyNumberFormat="1" applyFont="1" applyFill="1" applyBorder="1" applyAlignment="1">
      <x:alignment wrapText="1"/>
    </x:xf>
    <x:xf numFmtId="0" fontId="4" fillId="5" borderId="10" xfId="0" applyNumberFormat="1" applyFont="1" applyFill="1" applyBorder="1" applyAlignment="1">
      <x:alignment wrapText="1"/>
    </x:xf>
    <x:xf numFmtId="0" fontId="4" fillId="5" borderId="11" xfId="0" applyNumberFormat="1" applyFont="1" applyFill="1" applyBorder="1" applyAlignment="1">
      <x:alignment wrapText="1"/>
    </x:xf>
    <x:xf numFmtId="0" fontId="4" fillId="5" borderId="2" xfId="0" applyNumberFormat="1" applyFont="1" applyFill="1" applyBorder="1" applyAlignment="1">
      <x:alignment wrapText="1"/>
    </x:xf>
    <x:xf numFmtId="0" fontId="4" fillId="5" borderId="3" xfId="0" applyNumberFormat="1" applyFont="1" applyFill="1" applyBorder="1" applyAlignment="1">
      <x:alignment wrapText="1"/>
    </x:xf>
    <x:xf numFmtId="0" fontId="4" fillId="5" borderId="4" xfId="0" applyNumberFormat="1" applyFont="1" applyFill="1" applyBorder="1" applyAlignment="1">
      <x:alignment wrapText="1"/>
    </x:xf>
    <x:xf numFmtId="0" fontId="4" fillId="5" borderId="9" xfId="0" applyNumberFormat="1" applyFont="1" applyFill="1" applyBorder="1" applyAlignment="1">
      <x:alignment horizontal="center" wrapText="1"/>
    </x:xf>
    <x:xf numFmtId="0" fontId="4" fillId="5" borderId="10" xfId="0" applyNumberFormat="1" applyFont="1" applyFill="1" applyBorder="1" applyAlignment="1">
      <x:alignment horizontal="center" wrapText="1"/>
    </x:xf>
    <x:xf numFmtId="0" fontId="4" fillId="5" borderId="11" xfId="0" applyNumberFormat="1" applyFont="1" applyFill="1" applyBorder="1" applyAlignment="1">
      <x:alignment horizontal="center" wrapText="1"/>
    </x:xf>
    <x:xf numFmtId="0" fontId="4" fillId="5" borderId="2" xfId="0" applyNumberFormat="1" applyFont="1" applyFill="1" applyBorder="1" applyAlignment="1">
      <x:alignment horizontal="center" wrapText="1"/>
    </x:xf>
    <x:xf numFmtId="0" fontId="4" fillId="5" borderId="3" xfId="0" applyNumberFormat="1" applyFont="1" applyFill="1" applyBorder="1" applyAlignment="1">
      <x:alignment horizontal="center" wrapText="1"/>
    </x:xf>
    <x:xf numFmtId="0" fontId="4" fillId="5" borderId="4" xfId="0" applyNumberFormat="1" applyFont="1" applyFill="1" applyBorder="1" applyAlignment="1">
      <x:alignment horizontal="center" wrapText="1"/>
    </x:xf>
    <x:xf numFmtId="0" fontId="4" fillId="5" borderId="9" xfId="0" applyNumberFormat="1" applyFont="1" applyFill="1" applyBorder="1" applyAlignment="1">
      <x:alignment horizontal="center" vertical="center" wrapText="1"/>
    </x:xf>
    <x:xf numFmtId="0" fontId="4" fillId="5" borderId="10" xfId="0" applyNumberFormat="1" applyFont="1" applyFill="1" applyBorder="1" applyAlignment="1">
      <x:alignment horizontal="center" vertical="center" wrapText="1"/>
    </x:xf>
    <x:xf numFmtId="0" fontId="4" fillId="5" borderId="11" xfId="0" applyNumberFormat="1" applyFont="1" applyFill="1" applyBorder="1" applyAlignment="1">
      <x:alignment horizontal="center" vertical="center" wrapText="1"/>
    </x:xf>
    <x:xf numFmtId="0" fontId="4" fillId="5" borderId="2" xfId="0" applyNumberFormat="1" applyFont="1" applyFill="1" applyBorder="1" applyAlignment="1">
      <x:alignment horizontal="center" vertical="center" wrapText="1"/>
    </x:xf>
    <x:xf numFmtId="0" fontId="4" fillId="5" borderId="3" xfId="0" applyNumberFormat="1" applyFont="1" applyFill="1" applyBorder="1" applyAlignment="1">
      <x:alignment horizontal="center" vertical="center" wrapText="1"/>
    </x:xf>
    <x:xf numFmtId="0" fontId="4" fillId="5" borderId="4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0" fillId="6" borderId="0" xfId="0" applyNumberFormat="1" applyFont="1" applyFill="1" applyBorder="1"/>
    <x:xf numFmtId="200" fontId="5" fillId="0" borderId="6" xfId="0" applyNumberFormat="1" applyFont="1" applyFill="1" applyBorder="1" applyAlignment="1">
      <x:alignment vertical="center"/>
    </x:xf>
    <x:xf numFmtId="200" fontId="5" fillId="0" borderId="7" xfId="0" applyNumberFormat="1" applyFont="1" applyFill="1" applyBorder="1" applyAlignment="1">
      <x:alignment vertical="center"/>
    </x:xf>
    <x:xf numFmtId="200" fontId="5" fillId="0" borderId="8" xfId="0" applyNumberFormat="1" applyFont="1" applyFill="1" applyBorder="1" applyAlignment="1">
      <x:alignment vertical="center"/>
    </x:xf>
    <x:xf numFmtId="201" fontId="5" fillId="0" borderId="6" xfId="0" applyNumberFormat="1" applyFont="1" applyFill="1" applyBorder="1" applyAlignment="1">
      <x:alignment vertical="center"/>
    </x:xf>
    <x:xf numFmtId="201" fontId="5" fillId="0" borderId="7" xfId="0" applyNumberFormat="1" applyFont="1" applyFill="1" applyBorder="1" applyAlignment="1">
      <x:alignment vertical="center"/>
    </x:xf>
    <x:xf numFmtId="201" fontId="5" fillId="0" borderId="8" xfId="0" applyNumberFormat="1" applyFont="1" applyFill="1" applyBorder="1" applyAlignment="1">
      <x:alignment vertical="center"/>
    </x:xf>
    <x:xf numFmtId="201" fontId="5" fillId="0" borderId="6" xfId="0" applyNumberFormat="1" applyFont="1" applyFill="1" applyBorder="1" applyAlignment="1">
      <x:alignment horizontal="right" vertical="center"/>
    </x:xf>
    <x:xf numFmtId="201" fontId="5" fillId="0" borderId="7" xfId="0" applyNumberFormat="1" applyFont="1" applyFill="1" applyBorder="1" applyAlignment="1">
      <x:alignment horizontal="right" vertical="center"/>
    </x:xf>
    <x:xf numFmtId="201" fontId="5" fillId="0" borderId="8" xfId="0" applyNumberFormat="1" applyFont="1" applyFill="1" applyBorder="1" applyAlignment="1">
      <x:alignment horizontal="right" vertical="center"/>
    </x:xf>
    <x:xf numFmtId="0" fontId="1" fillId="8" borderId="0" xfId="0" applyNumberFormat="1" applyFont="1" applyFill="1" applyBorder="1"/>
    <x:xf numFmtId="0" fontId="4" fillId="8" borderId="0" xfId="0" applyNumberFormat="1" applyFont="1" applyFill="1" applyBorder="1"/>
    <x:xf numFmtId="0" fontId="4" fillId="8" borderId="9" xfId="0" applyNumberFormat="1" applyFont="1" applyFill="1" applyBorder="1"/>
    <x:xf numFmtId="0" fontId="4" fillId="8" borderId="10" xfId="0" applyNumberFormat="1" applyFont="1" applyFill="1" applyBorder="1"/>
    <x:xf numFmtId="0" fontId="4" fillId="8" borderId="11" xfId="0" applyNumberFormat="1" applyFont="1" applyFill="1" applyBorder="1"/>
    <x:xf numFmtId="0" fontId="4" fillId="8" borderId="2" xfId="0" applyNumberFormat="1" applyFont="1" applyFill="1" applyBorder="1"/>
    <x:xf numFmtId="0" fontId="4" fillId="8" borderId="3" xfId="0" applyNumberFormat="1" applyFont="1" applyFill="1" applyBorder="1"/>
    <x:xf numFmtId="0" fontId="4" fillId="8" borderId="4" xfId="0" applyNumberFormat="1" applyFont="1" applyFill="1" applyBorder="1"/>
    <x:xf numFmtId="0" fontId="4" fillId="8" borderId="9" xfId="0" applyNumberFormat="1" applyFont="1" applyFill="1" applyBorder="1" applyAlignment="1">
      <x:alignment wrapText="1"/>
    </x:xf>
    <x:xf numFmtId="0" fontId="4" fillId="8" borderId="10" xfId="0" applyNumberFormat="1" applyFont="1" applyFill="1" applyBorder="1" applyAlignment="1">
      <x:alignment wrapText="1"/>
    </x:xf>
    <x:xf numFmtId="0" fontId="4" fillId="8" borderId="11" xfId="0" applyNumberFormat="1" applyFont="1" applyFill="1" applyBorder="1" applyAlignment="1">
      <x:alignment wrapText="1"/>
    </x:xf>
    <x:xf numFmtId="0" fontId="4" fillId="8" borderId="2" xfId="0" applyNumberFormat="1" applyFont="1" applyFill="1" applyBorder="1" applyAlignment="1">
      <x:alignment wrapText="1"/>
    </x:xf>
    <x:xf numFmtId="0" fontId="4" fillId="8" borderId="3" xfId="0" applyNumberFormat="1" applyFont="1" applyFill="1" applyBorder="1" applyAlignment="1">
      <x:alignment wrapText="1"/>
    </x:xf>
    <x:xf numFmtId="0" fontId="4" fillId="8" borderId="4" xfId="0" applyNumberFormat="1" applyFont="1" applyFill="1" applyBorder="1" applyAlignment="1">
      <x:alignment wrapText="1"/>
    </x:xf>
    <x:xf numFmtId="0" fontId="4" fillId="8" borderId="9" xfId="0" applyNumberFormat="1" applyFont="1" applyFill="1" applyBorder="1" applyAlignment="1">
      <x:alignment horizontal="center" wrapText="1"/>
    </x:xf>
    <x:xf numFmtId="0" fontId="4" fillId="8" borderId="10" xfId="0" applyNumberFormat="1" applyFont="1" applyFill="1" applyBorder="1" applyAlignment="1">
      <x:alignment horizontal="center" wrapText="1"/>
    </x:xf>
    <x:xf numFmtId="0" fontId="4" fillId="8" borderId="11" xfId="0" applyNumberFormat="1" applyFont="1" applyFill="1" applyBorder="1" applyAlignment="1">
      <x:alignment horizontal="center" wrapText="1"/>
    </x:xf>
    <x:xf numFmtId="0" fontId="4" fillId="8" borderId="2" xfId="0" applyNumberFormat="1" applyFont="1" applyFill="1" applyBorder="1" applyAlignment="1">
      <x:alignment horizontal="center" wrapText="1"/>
    </x:xf>
    <x:xf numFmtId="0" fontId="4" fillId="8" borderId="3" xfId="0" applyNumberFormat="1" applyFont="1" applyFill="1" applyBorder="1" applyAlignment="1">
      <x:alignment horizontal="center" wrapText="1"/>
    </x:xf>
    <x:xf numFmtId="0" fontId="4" fillId="8" borderId="4" xfId="0" applyNumberFormat="1" applyFont="1" applyFill="1" applyBorder="1" applyAlignment="1">
      <x:alignment horizontal="center" wrapText="1"/>
    </x:xf>
    <x:xf numFmtId="0" fontId="4" fillId="8" borderId="9" xfId="0" applyNumberFormat="1" applyFont="1" applyFill="1" applyBorder="1" applyAlignment="1">
      <x:alignment horizontal="center" vertical="center" wrapText="1"/>
    </x:xf>
    <x:xf numFmtId="0" fontId="4" fillId="8" borderId="10" xfId="0" applyNumberFormat="1" applyFont="1" applyFill="1" applyBorder="1" applyAlignment="1">
      <x:alignment horizontal="center" vertical="center" wrapText="1"/>
    </x:xf>
    <x:xf numFmtId="0" fontId="4" fillId="8" borderId="11" xfId="0" applyNumberFormat="1" applyFont="1" applyFill="1" applyBorder="1" applyAlignment="1">
      <x:alignment horizontal="center" vertical="center" wrapText="1"/>
    </x:xf>
    <x:xf numFmtId="0" fontId="4" fillId="8" borderId="2" xfId="0" applyNumberFormat="1" applyFont="1" applyFill="1" applyBorder="1" applyAlignment="1">
      <x:alignment horizontal="center" vertical="center" wrapText="1"/>
    </x:xf>
    <x:xf numFmtId="0" fontId="4" fillId="8" borderId="3" xfId="0" applyNumberFormat="1" applyFont="1" applyFill="1" applyBorder="1" applyAlignment="1">
      <x:alignment horizontal="center" vertical="center" wrapText="1"/>
    </x:xf>
    <x:xf numFmtId="0" fontId="4" fillId="8" borderId="4" xfId="0" applyNumberFormat="1" applyFont="1" applyFill="1" applyBorder="1" applyAlignment="1">
      <x:alignment horizontal="center" vertical="center" wrapText="1"/>
    </x:xf>
    <x:xf numFmtId="0" fontId="1" fillId="9" borderId="0" xfId="0" applyNumberFormat="1" applyFont="1" applyFill="1" applyBorder="1"/>
    <x:xf numFmtId="0" fontId="4" fillId="9" borderId="0" xfId="0" applyNumberFormat="1" applyFont="1" applyFill="1" applyBorder="1"/>
    <x:xf numFmtId="0" fontId="4" fillId="9" borderId="9" xfId="0" applyNumberFormat="1" applyFont="1" applyFill="1" applyBorder="1"/>
    <x:xf numFmtId="0" fontId="4" fillId="9" borderId="10" xfId="0" applyNumberFormat="1" applyFont="1" applyFill="1" applyBorder="1"/>
    <x:xf numFmtId="0" fontId="4" fillId="9" borderId="11" xfId="0" applyNumberFormat="1" applyFont="1" applyFill="1" applyBorder="1"/>
    <x:xf numFmtId="0" fontId="4" fillId="9" borderId="2" xfId="0" applyNumberFormat="1" applyFont="1" applyFill="1" applyBorder="1"/>
    <x:xf numFmtId="0" fontId="4" fillId="9" borderId="3" xfId="0" applyNumberFormat="1" applyFont="1" applyFill="1" applyBorder="1"/>
    <x:xf numFmtId="0" fontId="4" fillId="9" borderId="4" xfId="0" applyNumberFormat="1" applyFont="1" applyFill="1" applyBorder="1"/>
    <x:xf numFmtId="0" fontId="4" fillId="9" borderId="9" xfId="0" applyNumberFormat="1" applyFont="1" applyFill="1" applyBorder="1" applyAlignment="1">
      <x:alignment wrapText="1"/>
    </x:xf>
    <x:xf numFmtId="0" fontId="4" fillId="9" borderId="10" xfId="0" applyNumberFormat="1" applyFont="1" applyFill="1" applyBorder="1" applyAlignment="1">
      <x:alignment wrapText="1"/>
    </x:xf>
    <x:xf numFmtId="0" fontId="4" fillId="9" borderId="11" xfId="0" applyNumberFormat="1" applyFont="1" applyFill="1" applyBorder="1" applyAlignment="1">
      <x:alignment wrapText="1"/>
    </x:xf>
    <x:xf numFmtId="0" fontId="4" fillId="9" borderId="2" xfId="0" applyNumberFormat="1" applyFont="1" applyFill="1" applyBorder="1" applyAlignment="1">
      <x:alignment wrapText="1"/>
    </x:xf>
    <x:xf numFmtId="0" fontId="4" fillId="9" borderId="3" xfId="0" applyNumberFormat="1" applyFont="1" applyFill="1" applyBorder="1" applyAlignment="1">
      <x:alignment wrapText="1"/>
    </x:xf>
    <x:xf numFmtId="0" fontId="4" fillId="9" borderId="4" xfId="0" applyNumberFormat="1" applyFont="1" applyFill="1" applyBorder="1" applyAlignment="1">
      <x:alignment wrapText="1"/>
    </x:xf>
    <x:xf numFmtId="0" fontId="4" fillId="9" borderId="9" xfId="0" applyNumberFormat="1" applyFont="1" applyFill="1" applyBorder="1" applyAlignment="1">
      <x:alignment horizontal="center" wrapText="1"/>
    </x:xf>
    <x:xf numFmtId="0" fontId="4" fillId="9" borderId="10" xfId="0" applyNumberFormat="1" applyFont="1" applyFill="1" applyBorder="1" applyAlignment="1">
      <x:alignment horizontal="center" wrapText="1"/>
    </x:xf>
    <x:xf numFmtId="0" fontId="4" fillId="9" borderId="11" xfId="0" applyNumberFormat="1" applyFont="1" applyFill="1" applyBorder="1" applyAlignment="1">
      <x:alignment horizontal="center" wrapText="1"/>
    </x:xf>
    <x:xf numFmtId="0" fontId="4" fillId="9" borderId="2" xfId="0" applyNumberFormat="1" applyFont="1" applyFill="1" applyBorder="1" applyAlignment="1">
      <x:alignment horizontal="center" wrapText="1"/>
    </x:xf>
    <x:xf numFmtId="0" fontId="4" fillId="9" borderId="3" xfId="0" applyNumberFormat="1" applyFont="1" applyFill="1" applyBorder="1" applyAlignment="1">
      <x:alignment horizontal="center" wrapText="1"/>
    </x:xf>
    <x:xf numFmtId="0" fontId="4" fillId="9" borderId="4" xfId="0" applyNumberFormat="1" applyFont="1" applyFill="1" applyBorder="1" applyAlignment="1">
      <x:alignment horizontal="center" wrapText="1"/>
    </x:xf>
    <x:xf numFmtId="0" fontId="4" fillId="9" borderId="9" xfId="0" applyNumberFormat="1" applyFont="1" applyFill="1" applyBorder="1" applyAlignment="1">
      <x:alignment horizontal="center" vertical="center" wrapText="1"/>
    </x:xf>
    <x:xf numFmtId="0" fontId="4" fillId="9" borderId="10" xfId="0" applyNumberFormat="1" applyFont="1" applyFill="1" applyBorder="1" applyAlignment="1">
      <x:alignment horizontal="center" vertical="center" wrapText="1"/>
    </x:xf>
    <x:xf numFmtId="0" fontId="4" fillId="9" borderId="11" xfId="0" applyNumberFormat="1" applyFont="1" applyFill="1" applyBorder="1" applyAlignment="1">
      <x:alignment horizontal="center" vertical="center" wrapText="1"/>
    </x:xf>
    <x:xf numFmtId="0" fontId="4" fillId="9" borderId="2" xfId="0" applyNumberFormat="1" applyFont="1" applyFill="1" applyBorder="1" applyAlignment="1">
      <x:alignment horizontal="center" vertical="center" wrapText="1"/>
    </x:xf>
    <x:xf numFmtId="0" fontId="4" fillId="9" borderId="3" xfId="0" applyNumberFormat="1" applyFont="1" applyFill="1" applyBorder="1" applyAlignment="1">
      <x:alignment horizontal="center" vertical="center" wrapText="1"/>
    </x:xf>
    <x:xf numFmtId="0" fontId="4" fillId="9" borderId="4" xfId="0" applyNumberFormat="1" applyFont="1" applyFill="1" applyBorder="1" applyAlignment="1">
      <x:alignment horizontal="center" vertical="center" wrapText="1"/>
    </x:xf>
    <x:xf numFmtId="0" fontId="1" fillId="10" borderId="0" xfId="0" applyNumberFormat="1" applyFont="1" applyFill="1" applyBorder="1"/>
    <x:xf numFmtId="0" fontId="4" fillId="10" borderId="0" xfId="0" applyNumberFormat="1" applyFont="1" applyFill="1" applyBorder="1"/>
    <x:xf numFmtId="0" fontId="4" fillId="10" borderId="9" xfId="0" applyNumberFormat="1" applyFont="1" applyFill="1" applyBorder="1"/>
    <x:xf numFmtId="0" fontId="4" fillId="10" borderId="10" xfId="0" applyNumberFormat="1" applyFont="1" applyFill="1" applyBorder="1"/>
    <x:xf numFmtId="0" fontId="4" fillId="10" borderId="11" xfId="0" applyNumberFormat="1" applyFont="1" applyFill="1" applyBorder="1"/>
    <x:xf numFmtId="0" fontId="4" fillId="10" borderId="2" xfId="0" applyNumberFormat="1" applyFont="1" applyFill="1" applyBorder="1"/>
    <x:xf numFmtId="0" fontId="4" fillId="10" borderId="3" xfId="0" applyNumberFormat="1" applyFont="1" applyFill="1" applyBorder="1"/>
    <x:xf numFmtId="0" fontId="4" fillId="10" borderId="4" xfId="0" applyNumberFormat="1" applyFont="1" applyFill="1" applyBorder="1"/>
    <x:xf numFmtId="0" fontId="4" fillId="10" borderId="9" xfId="0" applyNumberFormat="1" applyFont="1" applyFill="1" applyBorder="1" applyAlignment="1">
      <x:alignment wrapText="1"/>
    </x:xf>
    <x:xf numFmtId="0" fontId="4" fillId="10" borderId="10" xfId="0" applyNumberFormat="1" applyFont="1" applyFill="1" applyBorder="1" applyAlignment="1">
      <x:alignment wrapText="1"/>
    </x:xf>
    <x:xf numFmtId="0" fontId="4" fillId="10" borderId="11" xfId="0" applyNumberFormat="1" applyFont="1" applyFill="1" applyBorder="1" applyAlignment="1">
      <x:alignment wrapText="1"/>
    </x:xf>
    <x:xf numFmtId="0" fontId="4" fillId="10" borderId="2" xfId="0" applyNumberFormat="1" applyFont="1" applyFill="1" applyBorder="1" applyAlignment="1">
      <x:alignment wrapText="1"/>
    </x:xf>
    <x:xf numFmtId="0" fontId="4" fillId="10" borderId="3" xfId="0" applyNumberFormat="1" applyFont="1" applyFill="1" applyBorder="1" applyAlignment="1">
      <x:alignment wrapText="1"/>
    </x:xf>
    <x:xf numFmtId="0" fontId="4" fillId="10" borderId="4" xfId="0" applyNumberFormat="1" applyFont="1" applyFill="1" applyBorder="1" applyAlignment="1">
      <x:alignment wrapText="1"/>
    </x:xf>
    <x:xf numFmtId="0" fontId="4" fillId="10" borderId="9" xfId="0" applyNumberFormat="1" applyFont="1" applyFill="1" applyBorder="1" applyAlignment="1">
      <x:alignment horizontal="center" wrapText="1"/>
    </x:xf>
    <x:xf numFmtId="0" fontId="4" fillId="10" borderId="10" xfId="0" applyNumberFormat="1" applyFont="1" applyFill="1" applyBorder="1" applyAlignment="1">
      <x:alignment horizontal="center" wrapText="1"/>
    </x:xf>
    <x:xf numFmtId="0" fontId="4" fillId="10" borderId="11" xfId="0" applyNumberFormat="1" applyFont="1" applyFill="1" applyBorder="1" applyAlignment="1">
      <x:alignment horizontal="center" wrapText="1"/>
    </x:xf>
    <x:xf numFmtId="0" fontId="4" fillId="10" borderId="2" xfId="0" applyNumberFormat="1" applyFont="1" applyFill="1" applyBorder="1" applyAlignment="1">
      <x:alignment horizontal="center" wrapText="1"/>
    </x:xf>
    <x:xf numFmtId="0" fontId="4" fillId="10" borderId="3" xfId="0" applyNumberFormat="1" applyFont="1" applyFill="1" applyBorder="1" applyAlignment="1">
      <x:alignment horizontal="center" wrapText="1"/>
    </x:xf>
    <x:xf numFmtId="0" fontId="4" fillId="10" borderId="4" xfId="0" applyNumberFormat="1" applyFont="1" applyFill="1" applyBorder="1" applyAlignment="1">
      <x:alignment horizontal="center" wrapText="1"/>
    </x:xf>
    <x:xf numFmtId="0" fontId="4" fillId="10" borderId="9" xfId="0" applyNumberFormat="1" applyFont="1" applyFill="1" applyBorder="1" applyAlignment="1">
      <x:alignment horizontal="center" vertical="center" wrapText="1"/>
    </x:xf>
    <x:xf numFmtId="0" fontId="4" fillId="10" borderId="10" xfId="0" applyNumberFormat="1" applyFont="1" applyFill="1" applyBorder="1" applyAlignment="1">
      <x:alignment horizontal="center" vertical="center" wrapText="1"/>
    </x:xf>
    <x:xf numFmtId="0" fontId="4" fillId="10" borderId="11" xfId="0" applyNumberFormat="1" applyFont="1" applyFill="1" applyBorder="1" applyAlignment="1">
      <x:alignment horizontal="center" vertical="center" wrapText="1"/>
    </x:xf>
    <x:xf numFmtId="0" fontId="4" fillId="10" borderId="2" xfId="0" applyNumberFormat="1" applyFont="1" applyFill="1" applyBorder="1" applyAlignment="1">
      <x:alignment horizontal="center" vertical="center" wrapText="1"/>
    </x:xf>
    <x:xf numFmtId="0" fontId="4" fillId="10" borderId="3" xfId="0" applyNumberFormat="1" applyFont="1" applyFill="1" applyBorder="1" applyAlignment="1">
      <x:alignment horizontal="center" vertical="center" wrapText="1"/>
    </x:xf>
    <x:xf numFmtId="0" fontId="4" fillId="10" borderId="4" xfId="0" applyNumberFormat="1" applyFont="1" applyFill="1" applyBorder="1" applyAlignment="1">
      <x:alignment horizontal="center" vertical="center" wrapText="1"/>
    </x:xf>
    <x:xf numFmtId="0" fontId="1" fillId="11" borderId="0" xfId="0" applyNumberFormat="1" applyFont="1" applyFill="1" applyBorder="1"/>
    <x:xf numFmtId="0" fontId="4" fillId="11" borderId="0" xfId="0" applyNumberFormat="1" applyFont="1" applyFill="1" applyBorder="1"/>
    <x:xf numFmtId="0" fontId="4" fillId="11" borderId="9" xfId="0" applyNumberFormat="1" applyFont="1" applyFill="1" applyBorder="1"/>
    <x:xf numFmtId="0" fontId="4" fillId="11" borderId="10" xfId="0" applyNumberFormat="1" applyFont="1" applyFill="1" applyBorder="1"/>
    <x:xf numFmtId="0" fontId="4" fillId="11" borderId="11" xfId="0" applyNumberFormat="1" applyFont="1" applyFill="1" applyBorder="1"/>
    <x:xf numFmtId="0" fontId="4" fillId="11" borderId="2" xfId="0" applyNumberFormat="1" applyFont="1" applyFill="1" applyBorder="1"/>
    <x:xf numFmtId="0" fontId="4" fillId="11" borderId="3" xfId="0" applyNumberFormat="1" applyFont="1" applyFill="1" applyBorder="1"/>
    <x:xf numFmtId="0" fontId="4" fillId="11" borderId="4" xfId="0" applyNumberFormat="1" applyFont="1" applyFill="1" applyBorder="1"/>
    <x:xf numFmtId="0" fontId="4" fillId="11" borderId="9" xfId="0" applyNumberFormat="1" applyFont="1" applyFill="1" applyBorder="1" applyAlignment="1">
      <x:alignment wrapText="1"/>
    </x:xf>
    <x:xf numFmtId="0" fontId="4" fillId="11" borderId="10" xfId="0" applyNumberFormat="1" applyFont="1" applyFill="1" applyBorder="1" applyAlignment="1">
      <x:alignment wrapText="1"/>
    </x:xf>
    <x:xf numFmtId="0" fontId="4" fillId="11" borderId="11" xfId="0" applyNumberFormat="1" applyFont="1" applyFill="1" applyBorder="1" applyAlignment="1">
      <x:alignment wrapText="1"/>
    </x:xf>
    <x:xf numFmtId="0" fontId="4" fillId="11" borderId="2" xfId="0" applyNumberFormat="1" applyFont="1" applyFill="1" applyBorder="1" applyAlignment="1">
      <x:alignment wrapText="1"/>
    </x:xf>
    <x:xf numFmtId="0" fontId="4" fillId="11" borderId="3" xfId="0" applyNumberFormat="1" applyFont="1" applyFill="1" applyBorder="1" applyAlignment="1">
      <x:alignment wrapText="1"/>
    </x:xf>
    <x:xf numFmtId="0" fontId="4" fillId="11" borderId="4" xfId="0" applyNumberFormat="1" applyFont="1" applyFill="1" applyBorder="1" applyAlignment="1">
      <x:alignment wrapText="1"/>
    </x:xf>
    <x:xf numFmtId="0" fontId="4" fillId="11" borderId="9" xfId="0" applyNumberFormat="1" applyFont="1" applyFill="1" applyBorder="1" applyAlignment="1">
      <x:alignment horizontal="center" wrapText="1"/>
    </x:xf>
    <x:xf numFmtId="0" fontId="4" fillId="11" borderId="10" xfId="0" applyNumberFormat="1" applyFont="1" applyFill="1" applyBorder="1" applyAlignment="1">
      <x:alignment horizontal="center" wrapText="1"/>
    </x:xf>
    <x:xf numFmtId="0" fontId="4" fillId="11" borderId="11" xfId="0" applyNumberFormat="1" applyFont="1" applyFill="1" applyBorder="1" applyAlignment="1">
      <x:alignment horizontal="center" wrapText="1"/>
    </x:xf>
    <x:xf numFmtId="0" fontId="4" fillId="11" borderId="2" xfId="0" applyNumberFormat="1" applyFont="1" applyFill="1" applyBorder="1" applyAlignment="1">
      <x:alignment horizontal="center" wrapText="1"/>
    </x:xf>
    <x:xf numFmtId="0" fontId="4" fillId="11" borderId="3" xfId="0" applyNumberFormat="1" applyFont="1" applyFill="1" applyBorder="1" applyAlignment="1">
      <x:alignment horizontal="center" wrapText="1"/>
    </x:xf>
    <x:xf numFmtId="0" fontId="4" fillId="11" borderId="4" xfId="0" applyNumberFormat="1" applyFont="1" applyFill="1" applyBorder="1" applyAlignment="1">
      <x:alignment horizontal="center" wrapText="1"/>
    </x:xf>
    <x:xf numFmtId="0" fontId="4" fillId="11" borderId="9" xfId="0" applyNumberFormat="1" applyFont="1" applyFill="1" applyBorder="1" applyAlignment="1">
      <x:alignment horizontal="center" vertical="center" wrapText="1"/>
    </x:xf>
    <x:xf numFmtId="0" fontId="4" fillId="11" borderId="10" xfId="0" applyNumberFormat="1" applyFont="1" applyFill="1" applyBorder="1" applyAlignment="1">
      <x:alignment horizontal="center" vertical="center" wrapText="1"/>
    </x:xf>
    <x:xf numFmtId="0" fontId="4" fillId="11" borderId="11" xfId="0" applyNumberFormat="1" applyFont="1" applyFill="1" applyBorder="1" applyAlignment="1">
      <x:alignment horizontal="center" vertical="center" wrapText="1"/>
    </x:xf>
    <x:xf numFmtId="0" fontId="4" fillId="11" borderId="2" xfId="0" applyNumberFormat="1" applyFont="1" applyFill="1" applyBorder="1" applyAlignment="1">
      <x:alignment horizontal="center" vertical="center" wrapText="1"/>
    </x:xf>
    <x:xf numFmtId="0" fontId="4" fillId="11" borderId="3" xfId="0" applyNumberFormat="1" applyFont="1" applyFill="1" applyBorder="1" applyAlignment="1">
      <x:alignment horizontal="center" vertical="center" wrapText="1"/>
    </x:xf>
    <x:xf numFmtId="0" fontId="4" fillId="11" borderId="4" xfId="0" applyNumberFormat="1" applyFont="1" applyFill="1" applyBorder="1" applyAlignment="1">
      <x:alignment horizontal="center" vertical="center" wrapText="1"/>
    </x:xf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5" fillId="6" borderId="6" xfId="0" applyNumberFormat="1" applyFont="1" applyFill="1" applyBorder="1" applyAlignment="1">
      <x:alignment vertical="center"/>
    </x:xf>
    <x:xf numFmtId="0" fontId="5" fillId="6" borderId="7" xfId="0" applyNumberFormat="1" applyFont="1" applyFill="1" applyBorder="1" applyAlignment="1">
      <x:alignment vertical="center"/>
    </x:xf>
    <x:xf numFmtId="0" fontId="5" fillId="6" borderId="8" xfId="0" applyNumberFormat="1" applyFont="1" applyFill="1" applyBorder="1" applyAlignment="1">
      <x:alignment vertical="center"/>
    </x:xf>
    <x:xf numFmtId="0" fontId="1" fillId="6" borderId="6" xfId="0" applyNumberFormat="1" applyFont="1" applyFill="1" applyBorder="1" applyAlignment="1">
      <x:alignment vertical="center"/>
    </x:xf>
    <x:xf numFmtId="0" fontId="1" fillId="6" borderId="7" xfId="0" applyNumberFormat="1" applyFont="1" applyFill="1" applyBorder="1" applyAlignment="1">
      <x:alignment vertical="center"/>
    </x:xf>
    <x:xf numFmtId="0" fontId="1" fillId="6" borderId="8" xfId="0" applyNumberFormat="1" applyFont="1" applyFill="1" applyBorder="1" applyAlignment="1">
      <x:alignment vertical="center"/>
    </x:xf>
    <x:xf numFmtId="201" fontId="1" fillId="6" borderId="6" xfId="0" applyNumberFormat="1" applyFont="1" applyFill="1" applyBorder="1" applyAlignment="1">
      <x:alignment vertical="center"/>
    </x:xf>
    <x:xf numFmtId="201" fontId="1" fillId="6" borderId="7" xfId="0" applyNumberFormat="1" applyFont="1" applyFill="1" applyBorder="1" applyAlignment="1">
      <x:alignment vertical="center"/>
    </x:xf>
    <x:xf numFmtId="201" fontId="1" fillId="6" borderId="8" xfId="0" applyNumberFormat="1" applyFont="1" applyFill="1" applyBorder="1" applyAlignment="1">
      <x:alignment vertical="center"/>
    </x:xf>
    <x:xf numFmtId="201" fontId="1" fillId="6" borderId="6" xfId="0" applyNumberFormat="1" applyFont="1" applyFill="1" applyBorder="1" applyAlignment="1">
      <x:alignment horizontal="right" vertical="center"/>
    </x:xf>
    <x:xf numFmtId="201" fontId="1" fillId="6" borderId="7" xfId="0" applyNumberFormat="1" applyFont="1" applyFill="1" applyBorder="1" applyAlignment="1">
      <x:alignment horizontal="right" vertical="center"/>
    </x:xf>
    <x:xf numFmtId="201" fontId="1" fillId="6" borderId="8" xfId="0" applyNumberFormat="1" applyFont="1" applyFill="1" applyBorder="1" applyAlignment="1">
      <x:alignment horizontal="right" vertical="center"/>
    </x:xf>
    <x:xf numFmtId="0" fontId="1" fillId="12" borderId="0" xfId="0" applyNumberFormat="1" applyFont="1" applyFill="1" applyBorder="1"/>
    <x:xf numFmtId="0" fontId="7" fillId="12" borderId="0" xfId="0" applyNumberFormat="1" applyFont="1" applyFill="1" applyBorder="1"/>
    <x:xf numFmtId="0" fontId="7" fillId="12" borderId="1" xfId="0" applyNumberFormat="1" applyFont="1" applyFill="1" applyBorder="1"/>
    <x:xf numFmtId="0" fontId="7" fillId="12" borderId="1" xfId="0" applyNumberFormat="1" applyFont="1" applyFill="1" applyBorder="1" applyAlignment="1">
      <x:alignment vertical="center"/>
    </x:xf>
    <x:xf numFmtId="0" fontId="1" fillId="13" borderId="0" xfId="0" applyNumberFormat="1" applyFont="1" applyFill="1" applyBorder="1"/>
    <x:xf numFmtId="0" fontId="4" fillId="13" borderId="0" xfId="0" applyNumberFormat="1" applyFont="1" applyFill="1" applyBorder="1"/>
    <x:xf numFmtId="0" fontId="4" fillId="13" borderId="0" xfId="0" applyNumberFormat="1" applyFont="1" applyFill="1" applyBorder="1" applyAlignment="1">
      <x:alignment vertical="center"/>
    </x:xf>
    <x:xf numFmtId="0" fontId="1" fillId="0" borderId="6" xfId="0" applyNumberFormat="1" applyFont="1" applyFill="1" applyBorder="1" applyAlignment="1">
      <x:alignment horizontal="center" vertical="center"/>
    </x:xf>
    <x:xf numFmtId="0" fontId="1" fillId="0" borderId="7" xfId="0" applyNumberFormat="1" applyFont="1" applyFill="1" applyBorder="1" applyAlignment="1">
      <x:alignment horizontal="center" vertical="center"/>
    </x:xf>
    <x:xf numFmtId="0" fontId="1" fillId="0" borderId="8" xfId="0" applyNumberFormat="1" applyFont="1" applyFill="1" applyBorder="1" applyAlignment="1">
      <x:alignment horizontal="center" vertical="center"/>
    </x:xf>
    <x:xf numFmtId="200" fontId="1" fillId="0" borderId="6" xfId="0" applyNumberFormat="1" applyFont="1" applyFill="1" applyBorder="1" applyAlignment="1">
      <x:alignment vertical="center"/>
    </x:xf>
    <x:xf numFmtId="200" fontId="1" fillId="0" borderId="7" xfId="0" applyNumberFormat="1" applyFont="1" applyFill="1" applyBorder="1" applyAlignment="1">
      <x:alignment vertical="center"/>
    </x:xf>
    <x:xf numFmtId="200" fontId="1" fillId="0" borderId="8" xfId="0" applyNumberFormat="1" applyFont="1" applyFill="1" applyBorder="1" applyAlignment="1">
      <x:alignment vertical="center"/>
    </x:xf>
    <x:xf numFmtId="201" fontId="1" fillId="0" borderId="6" xfId="0" applyNumberFormat="1" applyFont="1" applyFill="1" applyBorder="1" applyAlignment="1">
      <x:alignment vertical="center"/>
    </x:xf>
    <x:xf numFmtId="201" fontId="1" fillId="0" borderId="7" xfId="0" applyNumberFormat="1" applyFont="1" applyFill="1" applyBorder="1" applyAlignment="1">
      <x:alignment vertical="center"/>
    </x:xf>
    <x:xf numFmtId="201" fontId="1" fillId="0" borderId="8" xfId="0" applyNumberFormat="1" applyFont="1" applyFill="1" applyBorder="1" applyAlignment="1">
      <x:alignment vertical="center"/>
    </x:xf>
    <x:xf numFmtId="202" fontId="7" fillId="12" borderId="1" xfId="0" applyNumberFormat="1" applyFont="1" applyFill="1" applyBorder="1" applyAlignment="1">
      <x:alignment vertical="center"/>
    </x:xf>
    <x:xf numFmtId="202" fontId="8" fillId="12" borderId="1" xfId="0" applyNumberFormat="1" applyFont="1" applyFill="1" applyBorder="1" applyAlignment="1">
      <x:alignment vertical="center"/>
    </x:xf>
    <x:xf numFmtId="0" fontId="9" fillId="6" borderId="0" xfId="0" applyNumberFormat="1" applyFont="1" applyFill="1" applyBorder="1"/>
    <x:xf numFmtId="0" fontId="9" fillId="6" borderId="12" xfId="0" applyNumberFormat="1" applyFont="1" applyFill="1" applyBorder="1"/>
    <x:xf numFmtId="0" fontId="9" fillId="6" borderId="13" xfId="0" applyNumberFormat="1" applyFont="1" applyFill="1" applyBorder="1"/>
    <x:xf numFmtId="0" fontId="9" fillId="6" borderId="14" xfId="0" applyNumberFormat="1" applyFont="1" applyFill="1" applyBorder="1"/>
    <x:xf numFmtId="0" fontId="9" fillId="6" borderId="12" xfId="0" applyNumberFormat="1" applyFont="1" applyFill="1" applyBorder="1" applyAlignment="1">
      <x:alignment horizontal="left"/>
    </x:xf>
    <x:xf numFmtId="0" fontId="9" fillId="6" borderId="13" xfId="0" applyNumberFormat="1" applyFont="1" applyFill="1" applyBorder="1" applyAlignment="1">
      <x:alignment horizontal="left"/>
    </x:xf>
    <x:xf numFmtId="0" fontId="9" fillId="6" borderId="14" xfId="0" applyNumberFormat="1" applyFont="1" applyFill="1" applyBorder="1" applyAlignment="1">
      <x:alignment horizontal="left"/>
    </x:xf>
    <x:xf numFmtId="0" fontId="9" fillId="6" borderId="12" xfId="0" applyNumberFormat="1" applyFont="1" applyFill="1" applyBorder="1" applyAlignment="1">
      <x:alignment horizontal="left" vertical="center"/>
    </x:xf>
    <x:xf numFmtId="0" fontId="9" fillId="6" borderId="13" xfId="0" applyNumberFormat="1" applyFont="1" applyFill="1" applyBorder="1" applyAlignment="1">
      <x:alignment horizontal="left" vertical="center"/>
    </x:xf>
    <x:xf numFmtId="0" fontId="9" fillId="6" borderId="14" xfId="0" applyNumberFormat="1" applyFont="1" applyFill="1" applyBorder="1" applyAlignment="1">
      <x:alignment horizontal="left" vertical="center"/>
    </x:xf>
    <x:xf numFmtId="0" fontId="10" fillId="6" borderId="0" xfId="0" applyNumberFormat="1" applyFont="1" applyFill="1" applyBorder="1"/>
    <x:xf numFmtId="0" fontId="10" fillId="6" borderId="15" xfId="0" applyNumberFormat="1" applyFont="1" applyFill="1" applyBorder="1"/>
    <x:xf numFmtId="0" fontId="10" fillId="6" borderId="16" xfId="0" applyNumberFormat="1" applyFont="1" applyFill="1" applyBorder="1"/>
    <x:xf numFmtId="0" fontId="10" fillId="6" borderId="17" xfId="0" applyNumberFormat="1" applyFont="1" applyFill="1" applyBorder="1"/>
    <x:xf numFmtId="0" fontId="10" fillId="6" borderId="18" xfId="0" applyNumberFormat="1" applyFont="1" applyFill="1" applyBorder="1"/>
    <x:xf numFmtId="0" fontId="10" fillId="6" borderId="19" xfId="0" applyNumberFormat="1" applyFont="1" applyFill="1" applyBorder="1"/>
    <x:xf numFmtId="0" fontId="10" fillId="6" borderId="15" xfId="0" applyNumberFormat="1" applyFont="1" applyFill="1" applyBorder="1" applyAlignment="1">
      <x:alignment horizontal="right"/>
    </x:xf>
    <x:xf numFmtId="0" fontId="10" fillId="6" borderId="0" xfId="0" applyNumberFormat="1" applyFont="1" applyFill="1" applyBorder="1" applyAlignment="1">
      <x:alignment horizontal="right"/>
    </x:xf>
    <x:xf numFmtId="0" fontId="10" fillId="6" borderId="16" xfId="0" applyNumberFormat="1" applyFont="1" applyFill="1" applyBorder="1" applyAlignment="1">
      <x:alignment horizontal="right"/>
    </x:xf>
    <x:xf numFmtId="0" fontId="10" fillId="6" borderId="17" xfId="0" applyNumberFormat="1" applyFont="1" applyFill="1" applyBorder="1" applyAlignment="1">
      <x:alignment horizontal="right"/>
    </x:xf>
    <x:xf numFmtId="0" fontId="10" fillId="6" borderId="18" xfId="0" applyNumberFormat="1" applyFont="1" applyFill="1" applyBorder="1" applyAlignment="1">
      <x:alignment horizontal="right"/>
    </x:xf>
    <x:xf numFmtId="0" fontId="10" fillId="6" borderId="19" xfId="0" applyNumberFormat="1" applyFont="1" applyFill="1" applyBorder="1" applyAlignment="1">
      <x:alignment horizontal="right"/>
    </x:xf>
    <x:xf numFmtId="0" fontId="10" fillId="6" borderId="15" xfId="0" applyNumberFormat="1" applyFont="1" applyFill="1" applyBorder="1" applyAlignment="1">
      <x:alignment horizontal="right" vertical="center"/>
    </x:xf>
    <x:xf numFmtId="0" fontId="10" fillId="6" borderId="0" xfId="0" applyNumberFormat="1" applyFont="1" applyFill="1" applyBorder="1" applyAlignment="1">
      <x:alignment horizontal="right" vertical="center"/>
    </x:xf>
    <x:xf numFmtId="0" fontId="10" fillId="6" borderId="16" xfId="0" applyNumberFormat="1" applyFont="1" applyFill="1" applyBorder="1" applyAlignment="1">
      <x:alignment horizontal="right" vertical="center"/>
    </x:xf>
    <x:xf numFmtId="0" fontId="10" fillId="6" borderId="17" xfId="0" applyNumberFormat="1" applyFont="1" applyFill="1" applyBorder="1" applyAlignment="1">
      <x:alignment horizontal="right" vertical="center"/>
    </x:xf>
    <x:xf numFmtId="0" fontId="10" fillId="6" borderId="18" xfId="0" applyNumberFormat="1" applyFont="1" applyFill="1" applyBorder="1" applyAlignment="1">
      <x:alignment horizontal="right" vertical="center"/>
    </x:xf>
    <x:xf numFmtId="0" fontId="10" fillId="6" borderId="19" xfId="0" applyNumberFormat="1" applyFont="1" applyFill="1" applyBorder="1" applyAlignment="1">
      <x:alignment horizontal="right" vertical="center"/>
    </x:xf>
    <x:xf numFmtId="0" fontId="1" fillId="14" borderId="0" xfId="0" applyNumberFormat="1" applyFont="1" applyFill="1" applyBorder="1"/>
    <x:xf numFmtId="0" fontId="9" fillId="14" borderId="0" xfId="0" applyNumberFormat="1" applyFont="1" applyFill="1" applyBorder="1"/>
    <x:xf numFmtId="0" fontId="9" fillId="14" borderId="12" xfId="0" applyNumberFormat="1" applyFont="1" applyFill="1" applyBorder="1"/>
    <x:xf numFmtId="0" fontId="9" fillId="14" borderId="13" xfId="0" applyNumberFormat="1" applyFont="1" applyFill="1" applyBorder="1"/>
    <x:xf numFmtId="0" fontId="9" fillId="14" borderId="14" xfId="0" applyNumberFormat="1" applyFont="1" applyFill="1" applyBorder="1"/>
    <x:xf numFmtId="0" fontId="9" fillId="14" borderId="12" xfId="0" applyNumberFormat="1" applyFont="1" applyFill="1" applyBorder="1" applyAlignment="1">
      <x:alignment horizontal="left"/>
    </x:xf>
    <x:xf numFmtId="0" fontId="9" fillId="14" borderId="13" xfId="0" applyNumberFormat="1" applyFont="1" applyFill="1" applyBorder="1" applyAlignment="1">
      <x:alignment horizontal="left"/>
    </x:xf>
    <x:xf numFmtId="0" fontId="9" fillId="14" borderId="14" xfId="0" applyNumberFormat="1" applyFont="1" applyFill="1" applyBorder="1" applyAlignment="1">
      <x:alignment horizontal="left"/>
    </x:xf>
    <x:xf numFmtId="0" fontId="9" fillId="14" borderId="12" xfId="0" applyNumberFormat="1" applyFont="1" applyFill="1" applyBorder="1" applyAlignment="1">
      <x:alignment horizontal="left" vertical="center"/>
    </x:xf>
    <x:xf numFmtId="0" fontId="9" fillId="14" borderId="13" xfId="0" applyNumberFormat="1" applyFont="1" applyFill="1" applyBorder="1" applyAlignment="1">
      <x:alignment horizontal="left" vertical="center"/>
    </x:xf>
    <x:xf numFmtId="0" fontId="9" fillId="14" borderId="14" xfId="0" applyNumberFormat="1" applyFont="1" applyFill="1" applyBorder="1" applyAlignment="1">
      <x:alignment horizontal="left" vertical="center"/>
    </x:xf>
    <x:xf numFmtId="0" fontId="11" fillId="14" borderId="0" xfId="0" applyNumberFormat="1" applyFont="1" applyFill="1" applyBorder="1"/>
    <x:xf numFmtId="0" fontId="11" fillId="14" borderId="15" xfId="0" applyNumberFormat="1" applyFont="1" applyFill="1" applyBorder="1"/>
    <x:xf numFmtId="0" fontId="11" fillId="14" borderId="16" xfId="0" applyNumberFormat="1" applyFont="1" applyFill="1" applyBorder="1"/>
    <x:xf numFmtId="0" fontId="11" fillId="14" borderId="17" xfId="0" applyNumberFormat="1" applyFont="1" applyFill="1" applyBorder="1"/>
    <x:xf numFmtId="0" fontId="11" fillId="14" borderId="18" xfId="0" applyNumberFormat="1" applyFont="1" applyFill="1" applyBorder="1"/>
    <x:xf numFmtId="0" fontId="11" fillId="14" borderId="19" xfId="0" applyNumberFormat="1" applyFont="1" applyFill="1" applyBorder="1"/>
    <x:xf numFmtId="0" fontId="11" fillId="14" borderId="15" xfId="0" applyNumberFormat="1" applyFont="1" applyFill="1" applyBorder="1" applyAlignment="1">
      <x:alignment horizontal="right"/>
    </x:xf>
    <x:xf numFmtId="0" fontId="11" fillId="14" borderId="0" xfId="0" applyNumberFormat="1" applyFont="1" applyFill="1" applyBorder="1" applyAlignment="1">
      <x:alignment horizontal="right"/>
    </x:xf>
    <x:xf numFmtId="0" fontId="11" fillId="14" borderId="16" xfId="0" applyNumberFormat="1" applyFont="1" applyFill="1" applyBorder="1" applyAlignment="1">
      <x:alignment horizontal="right"/>
    </x:xf>
    <x:xf numFmtId="0" fontId="11" fillId="14" borderId="17" xfId="0" applyNumberFormat="1" applyFont="1" applyFill="1" applyBorder="1" applyAlignment="1">
      <x:alignment horizontal="right"/>
    </x:xf>
    <x:xf numFmtId="0" fontId="11" fillId="14" borderId="18" xfId="0" applyNumberFormat="1" applyFont="1" applyFill="1" applyBorder="1" applyAlignment="1">
      <x:alignment horizontal="right"/>
    </x:xf>
    <x:xf numFmtId="0" fontId="11" fillId="14" borderId="19" xfId="0" applyNumberFormat="1" applyFont="1" applyFill="1" applyBorder="1" applyAlignment="1">
      <x:alignment horizontal="right"/>
    </x:xf>
    <x:xf numFmtId="0" fontId="11" fillId="14" borderId="15" xfId="0" applyNumberFormat="1" applyFont="1" applyFill="1" applyBorder="1" applyAlignment="1">
      <x:alignment horizontal="right" vertical="center"/>
    </x:xf>
    <x:xf numFmtId="0" fontId="11" fillId="14" borderId="0" xfId="0" applyNumberFormat="1" applyFont="1" applyFill="1" applyBorder="1" applyAlignment="1">
      <x:alignment horizontal="right" vertical="center"/>
    </x:xf>
    <x:xf numFmtId="0" fontId="11" fillId="14" borderId="16" xfId="0" applyNumberFormat="1" applyFont="1" applyFill="1" applyBorder="1" applyAlignment="1">
      <x:alignment horizontal="right" vertical="center"/>
    </x:xf>
    <x:xf numFmtId="0" fontId="11" fillId="14" borderId="17" xfId="0" applyNumberFormat="1" applyFont="1" applyFill="1" applyBorder="1" applyAlignment="1">
      <x:alignment horizontal="right" vertical="center"/>
    </x:xf>
    <x:xf numFmtId="0" fontId="11" fillId="14" borderId="18" xfId="0" applyNumberFormat="1" applyFont="1" applyFill="1" applyBorder="1" applyAlignment="1">
      <x:alignment horizontal="right" vertical="center"/>
    </x:xf>
    <x:xf numFmtId="0" fontId="11" fillId="14" borderId="19" xfId="0" applyNumberFormat="1" applyFont="1" applyFill="1" applyBorder="1" applyAlignment="1">
      <x:alignment horizontal="right" vertical="center"/>
    </x:xf>
    <x:xf numFmtId="0" fontId="1" fillId="15" borderId="0" xfId="0" applyNumberFormat="1" applyFont="1" applyFill="1" applyBorder="1"/>
    <x:xf numFmtId="0" fontId="9" fillId="15" borderId="0" xfId="0" applyNumberFormat="1" applyFont="1" applyFill="1" applyBorder="1"/>
    <x:xf numFmtId="0" fontId="9" fillId="15" borderId="12" xfId="0" applyNumberFormat="1" applyFont="1" applyFill="1" applyBorder="1"/>
    <x:xf numFmtId="0" fontId="9" fillId="15" borderId="13" xfId="0" applyNumberFormat="1" applyFont="1" applyFill="1" applyBorder="1"/>
    <x:xf numFmtId="0" fontId="9" fillId="15" borderId="14" xfId="0" applyNumberFormat="1" applyFont="1" applyFill="1" applyBorder="1"/>
    <x:xf numFmtId="0" fontId="9" fillId="15" borderId="12" xfId="0" applyNumberFormat="1" applyFont="1" applyFill="1" applyBorder="1" applyAlignment="1">
      <x:alignment horizontal="left"/>
    </x:xf>
    <x:xf numFmtId="0" fontId="9" fillId="15" borderId="13" xfId="0" applyNumberFormat="1" applyFont="1" applyFill="1" applyBorder="1" applyAlignment="1">
      <x:alignment horizontal="left"/>
    </x:xf>
    <x:xf numFmtId="0" fontId="9" fillId="15" borderId="14" xfId="0" applyNumberFormat="1" applyFont="1" applyFill="1" applyBorder="1" applyAlignment="1">
      <x:alignment horizontal="left"/>
    </x:xf>
    <x:xf numFmtId="0" fontId="9" fillId="15" borderId="12" xfId="0" applyNumberFormat="1" applyFont="1" applyFill="1" applyBorder="1" applyAlignment="1">
      <x:alignment horizontal="left" vertical="center"/>
    </x:xf>
    <x:xf numFmtId="0" fontId="9" fillId="15" borderId="13" xfId="0" applyNumberFormat="1" applyFont="1" applyFill="1" applyBorder="1" applyAlignment="1">
      <x:alignment horizontal="left" vertical="center"/>
    </x:xf>
    <x:xf numFmtId="0" fontId="9" fillId="15" borderId="14" xfId="0" applyNumberFormat="1" applyFont="1" applyFill="1" applyBorder="1" applyAlignment="1">
      <x:alignment horizontal="left" vertical="center"/>
    </x:xf>
    <x:xf numFmtId="0" fontId="12" fillId="15" borderId="0" xfId="0" applyNumberFormat="1" applyFont="1" applyFill="1" applyBorder="1"/>
    <x:xf numFmtId="0" fontId="12" fillId="15" borderId="15" xfId="0" applyNumberFormat="1" applyFont="1" applyFill="1" applyBorder="1"/>
    <x:xf numFmtId="0" fontId="12" fillId="15" borderId="16" xfId="0" applyNumberFormat="1" applyFont="1" applyFill="1" applyBorder="1"/>
    <x:xf numFmtId="0" fontId="12" fillId="15" borderId="17" xfId="0" applyNumberFormat="1" applyFont="1" applyFill="1" applyBorder="1"/>
    <x:xf numFmtId="0" fontId="12" fillId="15" borderId="18" xfId="0" applyNumberFormat="1" applyFont="1" applyFill="1" applyBorder="1"/>
    <x:xf numFmtId="0" fontId="12" fillId="15" borderId="19" xfId="0" applyNumberFormat="1" applyFont="1" applyFill="1" applyBorder="1"/>
    <x:xf numFmtId="0" fontId="12" fillId="15" borderId="15" xfId="0" applyNumberFormat="1" applyFont="1" applyFill="1" applyBorder="1" applyAlignment="1">
      <x:alignment horizontal="right"/>
    </x:xf>
    <x:xf numFmtId="0" fontId="12" fillId="15" borderId="0" xfId="0" applyNumberFormat="1" applyFont="1" applyFill="1" applyBorder="1" applyAlignment="1">
      <x:alignment horizontal="right"/>
    </x:xf>
    <x:xf numFmtId="0" fontId="12" fillId="15" borderId="16" xfId="0" applyNumberFormat="1" applyFont="1" applyFill="1" applyBorder="1" applyAlignment="1">
      <x:alignment horizontal="right"/>
    </x:xf>
    <x:xf numFmtId="0" fontId="12" fillId="15" borderId="17" xfId="0" applyNumberFormat="1" applyFont="1" applyFill="1" applyBorder="1" applyAlignment="1">
      <x:alignment horizontal="right"/>
    </x:xf>
    <x:xf numFmtId="0" fontId="12" fillId="15" borderId="18" xfId="0" applyNumberFormat="1" applyFont="1" applyFill="1" applyBorder="1" applyAlignment="1">
      <x:alignment horizontal="right"/>
    </x:xf>
    <x:xf numFmtId="0" fontId="12" fillId="15" borderId="19" xfId="0" applyNumberFormat="1" applyFont="1" applyFill="1" applyBorder="1" applyAlignment="1">
      <x:alignment horizontal="right"/>
    </x:xf>
    <x:xf numFmtId="0" fontId="12" fillId="15" borderId="15" xfId="0" applyNumberFormat="1" applyFont="1" applyFill="1" applyBorder="1" applyAlignment="1">
      <x:alignment horizontal="right" vertical="center"/>
    </x:xf>
    <x:xf numFmtId="0" fontId="12" fillId="15" borderId="0" xfId="0" applyNumberFormat="1" applyFont="1" applyFill="1" applyBorder="1" applyAlignment="1">
      <x:alignment horizontal="right" vertical="center"/>
    </x:xf>
    <x:xf numFmtId="0" fontId="12" fillId="15" borderId="16" xfId="0" applyNumberFormat="1" applyFont="1" applyFill="1" applyBorder="1" applyAlignment="1">
      <x:alignment horizontal="right" vertical="center"/>
    </x:xf>
    <x:xf numFmtId="0" fontId="12" fillId="15" borderId="17" xfId="0" applyNumberFormat="1" applyFont="1" applyFill="1" applyBorder="1" applyAlignment="1">
      <x:alignment horizontal="right" vertical="center"/>
    </x:xf>
    <x:xf numFmtId="0" fontId="12" fillId="15" borderId="18" xfId="0" applyNumberFormat="1" applyFont="1" applyFill="1" applyBorder="1" applyAlignment="1">
      <x:alignment horizontal="right" vertical="center"/>
    </x:xf>
    <x:xf numFmtId="0" fontId="12" fillId="15" borderId="19" xfId="0" applyNumberFormat="1" applyFont="1" applyFill="1" applyBorder="1" applyAlignment="1">
      <x:alignment horizontal="right" vertical="center"/>
    </x:xf>
    <x:xf numFmtId="201" fontId="10" fillId="6" borderId="15" xfId="0" applyNumberFormat="1" applyFont="1" applyFill="1" applyBorder="1" applyAlignment="1">
      <x:alignment horizontal="right" vertical="center"/>
    </x:xf>
    <x:xf numFmtId="201" fontId="11" fillId="14" borderId="15" xfId="0" applyNumberFormat="1" applyFont="1" applyFill="1" applyBorder="1" applyAlignment="1">
      <x:alignment horizontal="right" vertical="center"/>
    </x:xf>
    <x:xf numFmtId="201" fontId="12" fillId="15" borderId="15" xfId="0" applyNumberFormat="1" applyFont="1" applyFill="1" applyBorder="1" applyAlignment="1">
      <x:alignment horizontal="right" vertical="center"/>
    </x:xf>
    <x:xf numFmtId="203" fontId="10" fillId="6" borderId="15" xfId="0" applyNumberFormat="1" applyFont="1" applyFill="1" applyBorder="1" applyAlignment="1">
      <x:alignment horizontal="right" vertical="center"/>
    </x:xf>
    <x:xf numFmtId="0" fontId="1" fillId="16" borderId="0" xfId="0" applyNumberFormat="1" applyFont="1" applyFill="1" applyBorder="1"/>
    <x:xf numFmtId="0" fontId="4" fillId="16" borderId="0" xfId="0" applyNumberFormat="1" applyFont="1" applyFill="1" applyBorder="1"/>
    <x:xf numFmtId="0" fontId="4" fillId="16" borderId="2" xfId="0" applyNumberFormat="1" applyFont="1" applyFill="1" applyBorder="1"/>
    <x:xf numFmtId="0" fontId="4" fillId="16" borderId="3" xfId="0" applyNumberFormat="1" applyFont="1" applyFill="1" applyBorder="1"/>
    <x:xf numFmtId="0" fontId="4" fillId="16" borderId="4" xfId="0" applyNumberFormat="1" applyFont="1" applyFill="1" applyBorder="1"/>
    <x:xf numFmtId="0" fontId="4" fillId="16" borderId="2" xfId="0" applyNumberFormat="1" applyFont="1" applyFill="1" applyBorder="1" applyAlignment="1">
      <x:alignment wrapText="1"/>
    </x:xf>
    <x:xf numFmtId="0" fontId="4" fillId="16" borderId="3" xfId="0" applyNumberFormat="1" applyFont="1" applyFill="1" applyBorder="1" applyAlignment="1">
      <x:alignment wrapText="1"/>
    </x:xf>
    <x:xf numFmtId="0" fontId="4" fillId="16" borderId="4" xfId="0" applyNumberFormat="1" applyFont="1" applyFill="1" applyBorder="1" applyAlignment="1">
      <x:alignment wrapText="1"/>
    </x:xf>
    <x:xf numFmtId="0" fontId="4" fillId="16" borderId="2" xfId="0" applyNumberFormat="1" applyFont="1" applyFill="1" applyBorder="1" applyAlignment="1">
      <x:alignment horizontal="center" wrapText="1"/>
    </x:xf>
    <x:xf numFmtId="0" fontId="4" fillId="16" borderId="3" xfId="0" applyNumberFormat="1" applyFont="1" applyFill="1" applyBorder="1" applyAlignment="1">
      <x:alignment horizontal="center" wrapText="1"/>
    </x:xf>
    <x:xf numFmtId="0" fontId="4" fillId="16" borderId="4" xfId="0" applyNumberFormat="1" applyFont="1" applyFill="1" applyBorder="1" applyAlignment="1">
      <x:alignment horizontal="center" wrapText="1"/>
    </x:xf>
    <x:xf numFmtId="0" fontId="4" fillId="16" borderId="2" xfId="0" applyNumberFormat="1" applyFont="1" applyFill="1" applyBorder="1" applyAlignment="1">
      <x:alignment horizontal="center" vertical="center" wrapText="1"/>
    </x:xf>
    <x:xf numFmtId="0" fontId="4" fillId="16" borderId="3" xfId="0" applyNumberFormat="1" applyFont="1" applyFill="1" applyBorder="1" applyAlignment="1">
      <x:alignment horizontal="center" vertical="center" wrapText="1"/>
    </x:xf>
    <x:xf numFmtId="0" fontId="4" fillId="16" borderId="4" xfId="0" applyNumberFormat="1" applyFont="1" applyFill="1" applyBorder="1" applyAlignment="1">
      <x:alignment horizontal="center" vertical="center" wrapText="1"/>
    </x:xf>
    <x:xf numFmtId="0" fontId="13" fillId="0" borderId="6" xfId="0" applyNumberFormat="1" applyFont="1" applyFill="1" applyBorder="1" applyAlignment="1">
      <x:alignment vertical="center"/>
    </x:xf>
    <x:xf numFmtId="0" fontId="13" fillId="0" borderId="7" xfId="0" applyNumberFormat="1" applyFont="1" applyFill="1" applyBorder="1" applyAlignment="1">
      <x:alignment vertical="center"/>
    </x:xf>
    <x:xf numFmtId="0" fontId="13" fillId="0" borderId="8" xfId="0" applyNumberFormat="1" applyFont="1" applyFill="1" applyBorder="1" applyAlignment="1">
      <x:alignment vertical="center"/>
    </x:xf>
    <x:xf numFmtId="0" fontId="14" fillId="15" borderId="0" xfId="0" applyNumberFormat="1" applyFont="1" applyFill="1" applyBorder="1"/>
    <x:xf numFmtId="0" fontId="14" fillId="15" borderId="20" xfId="0" applyNumberFormat="1" applyFont="1" applyFill="1" applyBorder="1"/>
    <x:xf numFmtId="0" fontId="14" fillId="15" borderId="20" xfId="0" applyNumberFormat="1" applyFont="1" applyFill="1" applyBorder="1" applyAlignment="1">
      <x:alignment wrapText="1"/>
    </x:xf>
    <x:xf numFmtId="0" fontId="14" fillId="15" borderId="0" xfId="0" applyNumberFormat="1" applyFont="1" applyFill="1" applyBorder="1" applyAlignment="1">
      <x:alignment wrapText="1"/>
    </x:xf>
    <x:xf numFmtId="0" fontId="14" fillId="15" borderId="20" xfId="0" applyNumberFormat="1" applyFont="1" applyFill="1" applyBorder="1" applyAlignment="1">
      <x:alignment vertical="center" wrapText="1"/>
    </x:xf>
    <x:xf numFmtId="0" fontId="14" fillId="15" borderId="0" xfId="0" applyNumberFormat="1" applyFont="1" applyFill="1" applyBorder="1" applyAlignment="1">
      <x:alignment vertical="center" wrapText="1"/>
    </x:xf>
    <x:xf numFmtId="0" fontId="15" fillId="14" borderId="0" xfId="0" applyNumberFormat="1" applyFont="1" applyFill="1" applyBorder="1"/>
    <x:xf numFmtId="0" fontId="15" fillId="14" borderId="21" xfId="0" applyNumberFormat="1" applyFont="1" applyFill="1" applyBorder="1"/>
    <x:xf numFmtId="0" fontId="15" fillId="14" borderId="21" xfId="0" applyNumberFormat="1" applyFont="1" applyFill="1" applyBorder="1" applyAlignment="1">
      <x:alignment wrapText="1"/>
    </x:xf>
    <x:xf numFmtId="0" fontId="15" fillId="14" borderId="0" xfId="0" applyNumberFormat="1" applyFont="1" applyFill="1" applyBorder="1" applyAlignment="1">
      <x:alignment wrapText="1"/>
    </x:xf>
    <x:xf numFmtId="0" fontId="15" fillId="14" borderId="21" xfId="0" applyNumberFormat="1" applyFont="1" applyFill="1" applyBorder="1" applyAlignment="1">
      <x:alignment vertical="center" wrapText="1"/>
    </x:xf>
    <x:xf numFmtId="0" fontId="15" fillId="14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horizontal="left"/>
    </x:xf>
  </x:cellXfs>
  <x:cellStyles count="1">
    <x:cellStyle name="Normal" xfId="0"/>
  </x:cellStyles>
  <x:dxfs count="13">
    <x:dxf>
      <x:font>
        <x:b/>
        <x:color rgb="FF1F6B57"/>
      </x:font>
      <x:fill>
        <x:patternFill patternType="solid">
          <x:bgColor rgb="FFE9F2EE"/>
        </x:patternFill>
      </x:fill>
    </x:dxf>
    <x:dxf>
      <x:font>
        <x:b/>
        <x:color rgb="FF6D7873"/>
      </x:font>
      <x:fill>
        <x:patternFill patternType="solid">
          <x:bgColor rgb="FFEEF0EF"/>
        </x:patternFill>
      </x:fill>
    </x:dxf>
    <x:dxf>
      <x:font>
        <x:b/>
        <x:color rgb="FFB74337"/>
      </x:font>
      <x:fill>
        <x:patternFill patternType="solid">
          <x:bgColor rgb="FFFBEAE7"/>
        </x:patternFill>
      </x:fill>
    </x:dxf>
    <x:dxf>
      <x:font>
        <x:b/>
        <x:color rgb="FFB74337"/>
      </x:font>
      <x:fill>
        <x:patternFill patternType="solid">
          <x:bgColor rgb="FFFBEAE7"/>
        </x:patternFill>
      </x:fill>
    </x:dxf>
    <x:dxf>
      <x:font>
        <x:b/>
        <x:color rgb="FFB74337"/>
      </x:font>
      <x:fill>
        <x:patternFill patternType="solid">
          <x:bgColor rgb="FFFBEAE7"/>
        </x:patternFill>
      </x:fill>
    </x:dxf>
    <x:dxf>
      <x:font>
        <x:b/>
        <x:color rgb="FFB74337"/>
      </x:font>
      <x:fill>
        <x:patternFill patternType="solid">
          <x:bgColor rgb="FFFBEAE7"/>
        </x:patternFill>
      </x:fill>
    </x:dxf>
    <x:dxf>
      <x:font>
        <x:b/>
        <x:color rgb="FFB74337"/>
      </x:font>
      <x:fill>
        <x:patternFill patternType="solid">
          <x:bgColor rgb="FFFBEAE7"/>
        </x:patternFill>
      </x:fill>
    </x:dxf>
    <x:dxf>
      <x:font>
        <x:b/>
        <x:color rgb="FFB74337"/>
      </x:font>
      <x:fill>
        <x:patternFill patternType="solid">
          <x:bgColor rgb="FFFBEAE7"/>
        </x:patternFill>
      </x:fill>
    </x:dxf>
    <x:dxf>
      <x:font>
        <x:b/>
        <x:color rgb="FFB74337"/>
      </x:font>
      <x:fill>
        <x:patternFill patternType="solid">
          <x:bgColor rgb="FFFBEAE7"/>
        </x:patternFill>
      </x:fill>
    </x:dxf>
    <x:dxf>
      <x:font>
        <x:b/>
        <x:color rgb="FF9A6715"/>
      </x:font>
      <x:fill>
        <x:patternFill patternType="solid">
          <x:bgColor rgb="FFFFF3D9"/>
        </x:patternFill>
      </x:fill>
    </x:dxf>
    <x:dxf>
      <x:font>
        <x:b/>
        <x:color rgb="FFB74337"/>
      </x:font>
      <x:fill>
        <x:patternFill patternType="solid">
          <x:bgColor rgb="FFFBEAE7"/>
        </x:patternFill>
      </x:fill>
    </x:dxf>
    <x:dxf>
      <x:font>
        <x:b/>
        <x:color rgb="FFB74337"/>
      </x:font>
      <x:fill>
        <x:patternFill patternType="solid">
          <x:bgColor rgb="FFFBEAE7"/>
        </x:patternFill>
      </x:fill>
    </x:dxf>
    <x:dxf>
      <x:font>
        <x:b/>
        <x:color rgb="FFB74337"/>
      </x:font>
      <x:fill>
        <x:patternFill patternType="solid">
          <x:bgColor rgb="FFFBEA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f138f08c74346d3" /><Relationship Type="http://schemas.openxmlformats.org/officeDocument/2006/relationships/theme" Target="/xl/theme/theme1.xml" Id="R55b8a96ffbb84839" /><Relationship Type="http://schemas.openxmlformats.org/officeDocument/2006/relationships/sharedStrings" Target="/xl/sharedStrings.xml" Id="R1d1e4280cf754639" /><Relationship Type="http://schemas.openxmlformats.org/officeDocument/2006/relationships/worksheet" Target="/xl/worksheets/sheet1.xml" Id="Rd006341563e94514" /><Relationship Type="http://schemas.openxmlformats.org/officeDocument/2006/relationships/worksheet" Target="/xl/worksheets/sheet2.xml" Id="Rea3d02c35c4940c4" /><Relationship Type="http://schemas.openxmlformats.org/officeDocument/2006/relationships/worksheet" Target="/xl/worksheets/sheet3.xml" Id="R7e6fb963454d436e" /><Relationship Type="http://schemas.openxmlformats.org/officeDocument/2006/relationships/worksheet" Target="/xl/worksheets/sheet4.xml" Id="R96db15fcc11a49d4" /><Relationship Type="http://schemas.openxmlformats.org/officeDocument/2006/relationships/worksheet" Target="/xl/worksheets/sheet5.xml" Id="R955fc69b1aab4be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.5" hidden="0" customWidth="1"/>
    <x:col min="2" max="2" width="9.5" hidden="0" customWidth="1"/>
    <x:col min="3" max="3" width="9.5" hidden="0" customWidth="1"/>
    <x:col min="4" max="4" width="9.5" hidden="0" customWidth="1"/>
    <x:col min="5" max="5" width="9.5" hidden="0" customWidth="1"/>
    <x:col min="6" max="6" width="9.5" hidden="0" customWidth="1"/>
    <x:col min="7" max="7" width="9.5" hidden="0" customWidth="1"/>
    <x:col min="8" max="8" width="9.5" hidden="0" customWidth="1"/>
    <x:col min="9" max="9" width="9.5" hidden="0" customWidth="1"/>
    <x:col min="10" max="10" width="9.5" hidden="0" customWidth="1"/>
    <x:col min="11" max="11" width="9.5" hidden="0" customWidth="1"/>
    <x:col min="12" max="12" width="9.5" hidden="0" customWidth="1"/>
    <x:col min="13" max="13" width="9.5" hidden="0" customWidth="1"/>
    <x:col min="14" max="14" width="9.5" hidden="0" customWidth="1"/>
    <x:col min="15" max="15" width="9.5" hidden="0" customWidth="1"/>
  </x:cols>
  <x:sheetData>
    <x:row r="1" ht="34.5" customHeight="1">
      <x:c r="A1" s="4" t="str">
        <x:v>스위치플랜 사업현황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  <x:c r="AA1" s="1"/>
      <x:c r="AB1" s="1"/>
      <x:c r="AC1" s="1"/>
      <x:c r="AD1" s="1"/>
      <x:c r="AE1" s="1"/>
    </x:row>
    <x:row r="2" ht="22.5" customHeight="1">
      <x:c r="A2" s="268" t="str">
        <x:v>기준일</x:v>
      </x:c>
      <x:c r="B2" s="282" t="n">
        <x:v>46248</x:v>
      </x:c>
      <x:c r="C2" s="268" t="str">
        <x:v>표본 데이터가 포함된 작동 예시입니다. 실제 데이터는 입력 탭에 붙여 넣으면 됩니다.</x:v>
      </x:c>
      <x:c r="D2" s="268"/>
      <x:c r="E2" s="268"/>
      <x:c r="F2" s="268"/>
      <x:c r="G2" s="268"/>
      <x:c r="H2" s="268"/>
      <x:c r="I2" s="268"/>
      <x:c r="J2" s="268"/>
      <x:c r="K2" s="268"/>
      <x:c r="L2" s="268"/>
      <x:c r="M2" s="268"/>
      <x:c r="N2" s="268"/>
      <x:c r="O2" s="268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  <x:c r="AA2" s="1"/>
      <x:c r="AB2" s="1"/>
      <x:c r="AC2" s="1"/>
      <x:c r="AD2" s="1"/>
      <x:c r="AE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  <x:c r="AA3" s="1"/>
      <x:c r="AB3" s="1"/>
      <x:c r="AC3" s="1"/>
      <x:c r="AD3" s="1"/>
      <x:c r="AE3" s="1"/>
    </x:row>
    <x:row r="4" ht="18" customHeight="1">
      <x:c r="A4" s="290" t="str">
        <x:v>자산 원장</x:v>
      </x:c>
      <x:c r="B4" s="291"/>
      <x:c r="C4" s="292"/>
      <x:c r="D4" s="290" t="str">
        <x:v>운영 보유</x:v>
      </x:c>
      <x:c r="E4" s="291"/>
      <x:c r="F4" s="292"/>
      <x:c r="G4" s="290" t="str">
        <x:v>대여중</x:v>
      </x:c>
      <x:c r="H4" s="291"/>
      <x:c r="I4" s="292"/>
      <x:c r="J4" s="319" t="str">
        <x:v>쉬는차</x:v>
      </x:c>
      <x:c r="K4" s="320"/>
      <x:c r="L4" s="321"/>
      <x:c r="M4" s="290" t="str">
        <x:v>반납 추적</x:v>
      </x:c>
      <x:c r="N4" s="291"/>
      <x:c r="O4" s="292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  <x:c r="AA4" s="1"/>
      <x:c r="AB4" s="1"/>
      <x:c r="AC4" s="1"/>
      <x:c r="AD4" s="1"/>
      <x:c r="AE4" s="1"/>
    </x:row>
    <x:row r="5" ht="22.5" customHeight="1">
      <x:c r="A5" s="369" t="n">
        <x:f>COUNTIF('자산'!$B$5:$B$204,"&lt;&gt;")</x:f>
        <x:v>10</x:v>
      </x:c>
      <x:c r="B5" s="306"/>
      <x:c r="C5" s="307"/>
      <x:c r="D5" s="369" t="n">
        <x:f>COUNTIF('자산'!$I$5:$I$204,"보유")</x:f>
        <x:v>8</x:v>
      </x:c>
      <x:c r="E5" s="306"/>
      <x:c r="F5" s="307"/>
      <x:c r="G5" s="369" t="n">
        <x:f>COUNTIF('운영현황'!$E$5:$E$204,"대여중")</x:f>
        <x:v>6</x:v>
      </x:c>
      <x:c r="H5" s="306"/>
      <x:c r="I5" s="307"/>
      <x:c r="J5" s="370" t="n">
        <x:f>COUNTIF('운영현황'!$E$5:$E$204,"쉬는차")</x:f>
        <x:v>2</x:v>
      </x:c>
      <x:c r="K5" s="335"/>
      <x:c r="L5" s="336"/>
      <x:c r="M5" s="369" t="n">
        <x:f>COUNT('계약'!$J$5:$J$204)+COUNT('계약'!$S$5:$S$204)+COUNT('계약'!$AB$5:$AB$204)</x:f>
        <x:v>6</x:v>
      </x:c>
      <x:c r="N5" s="306"/>
      <x:c r="O5" s="307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  <x:c r="AA5" s="1"/>
      <x:c r="AB5" s="1"/>
      <x:c r="AC5" s="1"/>
      <x:c r="AD5" s="1"/>
      <x:c r="AE5" s="1"/>
    </x:row>
    <x:row r="6" ht="22.5" customHeight="1">
      <x:c r="A6" s="305"/>
      <x:c r="B6" s="306"/>
      <x:c r="C6" s="307"/>
      <x:c r="D6" s="305"/>
      <x:c r="E6" s="306"/>
      <x:c r="F6" s="307"/>
      <x:c r="G6" s="305"/>
      <x:c r="H6" s="306"/>
      <x:c r="I6" s="307"/>
      <x:c r="J6" s="334"/>
      <x:c r="K6" s="335"/>
      <x:c r="L6" s="336"/>
      <x:c r="M6" s="305"/>
      <x:c r="N6" s="306"/>
      <x:c r="O6" s="307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  <x:c r="AA6" s="1"/>
      <x:c r="AB6" s="1"/>
      <x:c r="AC6" s="1"/>
      <x:c r="AD6" s="1"/>
      <x:c r="AE6" s="1"/>
    </x:row>
    <x:row r="7" ht="22.5" customHeight="1">
      <x:c r="A7" s="308"/>
      <x:c r="B7" s="309"/>
      <x:c r="C7" s="310"/>
      <x:c r="D7" s="308"/>
      <x:c r="E7" s="309"/>
      <x:c r="F7" s="310"/>
      <x:c r="G7" s="308"/>
      <x:c r="H7" s="309"/>
      <x:c r="I7" s="310"/>
      <x:c r="J7" s="337"/>
      <x:c r="K7" s="338"/>
      <x:c r="L7" s="339"/>
      <x:c r="M7" s="308"/>
      <x:c r="N7" s="309"/>
      <x:c r="O7" s="310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  <x:c r="AA7" s="1"/>
      <x:c r="AB7" s="1"/>
      <x:c r="AC7" s="1"/>
      <x:c r="AD7" s="1"/>
      <x:c r="AE7" s="1"/>
    </x:row>
    <x:row r="8" ht="18" customHeight="1">
      <x:c r="A8" s="1"/>
      <x:c r="B8" s="1"/>
      <x:c r="C8" s="1"/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"/>
      <x:c r="AA8" s="1"/>
      <x:c r="AB8" s="1"/>
      <x:c r="AC8" s="1"/>
      <x:c r="AD8" s="1"/>
      <x:c r="AE8" s="1"/>
    </x:row>
    <x:row r="9" ht="18" customHeight="1">
      <x:c r="A9" s="290" t="str">
        <x:v>당월 청구</x:v>
      </x:c>
      <x:c r="B9" s="291"/>
      <x:c r="C9" s="292"/>
      <x:c r="D9" s="290" t="str">
        <x:v>당월 수납</x:v>
      </x:c>
      <x:c r="E9" s="291"/>
      <x:c r="F9" s="292"/>
      <x:c r="G9" s="290" t="str">
        <x:v>수납률</x:v>
      </x:c>
      <x:c r="H9" s="291"/>
      <x:c r="I9" s="292"/>
      <x:c r="J9" s="348" t="str">
        <x:v>미납 총잔액</x:v>
      </x:c>
      <x:c r="K9" s="349"/>
      <x:c r="L9" s="350"/>
      <x:c r="M9" s="348" t="str">
        <x:v>위약금 채권</x:v>
      </x:c>
      <x:c r="N9" s="349"/>
      <x:c r="O9" s="350"/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"/>
      <x:c r="AA9" s="1"/>
      <x:c r="AB9" s="1"/>
      <x:c r="AC9" s="1"/>
      <x:c r="AD9" s="1"/>
      <x:c r="AE9" s="1"/>
    </x:row>
    <x:row r="10" ht="22.5" customHeight="1">
      <x:c r="A10" s="369" t="n">
        <x:f>SUM('수납'!$F$5:$F$204)</x:f>
        <x:v>5370000</x:v>
      </x:c>
      <x:c r="B10" s="306"/>
      <x:c r="C10" s="307"/>
      <x:c r="D10" s="369" t="n">
        <x:f>SUM('수납'!$G$5:$G$204)</x:f>
        <x:v>3190000</x:v>
      </x:c>
      <x:c r="E10" s="306"/>
      <x:c r="F10" s="307"/>
      <x:c r="G10" s="372" t="n">
        <x:f>IFERROR(SUM('수납'!$G$5:$G$204)/SUM('수납'!$F$5:$F$204),0)</x:f>
        <x:v>0.5940409683426443</x:v>
      </x:c>
      <x:c r="H10" s="306"/>
      <x:c r="I10" s="307"/>
      <x:c r="J10" s="371" t="n">
        <x:f>SUM('수납'!$E$5:$E$204)</x:f>
        <x:v>6520000</x:v>
      </x:c>
      <x:c r="K10" s="364"/>
      <x:c r="L10" s="365"/>
      <x:c r="M10" s="371" t="n">
        <x:f>SUM('수납'!$X$5:$X$204)</x:f>
        <x:v>4120000</x:v>
      </x:c>
      <x:c r="N10" s="364"/>
      <x:c r="O10" s="365"/>
      <x:c r="P10" s="1"/>
      <x:c r="Q10" s="1"/>
      <x:c r="R10" s="1"/>
      <x:c r="S10" s="1"/>
      <x:c r="T10" s="1"/>
      <x:c r="U10" s="1"/>
      <x:c r="V10" s="1"/>
      <x:c r="W10" s="1"/>
      <x:c r="X10" s="1"/>
      <x:c r="Y10" s="1"/>
      <x:c r="Z10" s="1"/>
      <x:c r="AA10" s="1"/>
      <x:c r="AB10" s="1"/>
      <x:c r="AC10" s="1"/>
      <x:c r="AD10" s="1"/>
      <x:c r="AE10" s="1"/>
    </x:row>
    <x:row r="11" ht="22.5" customHeight="1">
      <x:c r="A11" s="305"/>
      <x:c r="B11" s="306"/>
      <x:c r="C11" s="307"/>
      <x:c r="D11" s="305"/>
      <x:c r="E11" s="306"/>
      <x:c r="F11" s="307"/>
      <x:c r="G11" s="305"/>
      <x:c r="H11" s="306"/>
      <x:c r="I11" s="307"/>
      <x:c r="J11" s="363"/>
      <x:c r="K11" s="364"/>
      <x:c r="L11" s="365"/>
      <x:c r="M11" s="363"/>
      <x:c r="N11" s="364"/>
      <x:c r="O11" s="365"/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"/>
      <x:c r="AA11" s="1"/>
      <x:c r="AB11" s="1"/>
      <x:c r="AC11" s="1"/>
      <x:c r="AD11" s="1"/>
      <x:c r="AE11" s="1"/>
    </x:row>
    <x:row r="12" ht="22.5" customHeight="1">
      <x:c r="A12" s="308"/>
      <x:c r="B12" s="309"/>
      <x:c r="C12" s="310"/>
      <x:c r="D12" s="308"/>
      <x:c r="E12" s="309"/>
      <x:c r="F12" s="310"/>
      <x:c r="G12" s="308"/>
      <x:c r="H12" s="309"/>
      <x:c r="I12" s="310"/>
      <x:c r="J12" s="366"/>
      <x:c r="K12" s="367"/>
      <x:c r="L12" s="368"/>
      <x:c r="M12" s="366"/>
      <x:c r="N12" s="367"/>
      <x:c r="O12" s="368"/>
      <x:c r="P12" s="1"/>
      <x:c r="Q12" s="1"/>
      <x:c r="R12" s="1"/>
      <x:c r="S12" s="1"/>
      <x:c r="T12" s="1"/>
      <x:c r="U12" s="1"/>
      <x:c r="V12" s="1"/>
      <x:c r="W12" s="1"/>
      <x:c r="X12" s="1"/>
      <x:c r="Y12" s="1"/>
      <x:c r="Z12" s="1"/>
      <x:c r="AA12" s="1"/>
      <x:c r="AB12" s="1"/>
      <x:c r="AC12" s="1"/>
      <x:c r="AD12" s="1"/>
      <x:c r="AE12" s="1"/>
    </x:row>
    <x:row r="13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"/>
      <x:c r="AA13" s="1"/>
      <x:c r="AB13" s="1"/>
      <x:c r="AC13" s="1"/>
      <x:c r="AD13" s="1"/>
      <x:c r="AE13" s="1"/>
    </x:row>
    <x:row r="14" ht="18.75" customHeight="1">
      <x:c r="A14" s="22" t="str">
        <x:v>연체 구간</x:v>
      </x:c>
      <x:c r="B14" s="23"/>
      <x:c r="C14" s="23"/>
      <x:c r="D14" s="23"/>
      <x:c r="E14" s="23"/>
      <x:c r="F14" s="24"/>
      <x:c r="G14" s="1"/>
      <x:c r="H14" s="22" t="str">
        <x:v>계약 만료</x:v>
      </x:c>
      <x:c r="I14" s="23"/>
      <x:c r="J14" s="23"/>
      <x:c r="K14" s="23"/>
      <x:c r="L14" s="23"/>
      <x:c r="M14" s="24"/>
      <x:c r="N14" s="1"/>
      <x:c r="O14" s="1"/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1"/>
      <x:c r="AA14" s="1"/>
      <x:c r="AB14" s="1"/>
      <x:c r="AC14" s="1"/>
      <x:c r="AD14" s="1"/>
      <x:c r="AE14" s="1"/>
    </x:row>
    <x:row r="15" ht="18.75" customHeight="1">
      <x:c r="A15" s="384" t="str">
        <x:v>구간</x:v>
      </x:c>
      <x:c r="B15" s="385" t="str">
        <x:v>건수</x:v>
      </x:c>
      <x:c r="C15" s="386" t="str">
        <x:v>잔액</x:v>
      </x:c>
      <x:c r="D15" s="1"/>
      <x:c r="E15" s="1"/>
      <x:c r="F15" s="1"/>
      <x:c r="G15" s="1"/>
      <x:c r="H15" s="384" t="str">
        <x:v>시점</x:v>
      </x:c>
      <x:c r="I15" s="385" t="str">
        <x:v>대수</x:v>
      </x:c>
      <x:c r="J15" s="386" t="str">
        <x:v>월 대여료</x:v>
      </x:c>
      <x:c r="K15" s="1"/>
      <x:c r="L15" s="1"/>
      <x:c r="M15" s="1"/>
      <x:c r="N15" s="1"/>
      <x:c r="O15" s="1"/>
      <x:c r="P15" s="1"/>
      <x:c r="Q15" s="1"/>
      <x:c r="R15" s="1"/>
      <x:c r="S15" s="1"/>
      <x:c r="T15" s="1"/>
      <x:c r="U15" s="1"/>
      <x:c r="V15" s="1"/>
      <x:c r="W15" s="1"/>
      <x:c r="X15" s="1"/>
      <x:c r="Y15" s="1"/>
      <x:c r="Z15" s="1"/>
      <x:c r="AA15" s="1"/>
      <x:c r="AB15" s="1"/>
      <x:c r="AC15" s="1"/>
      <x:c r="AD15" s="1"/>
      <x:c r="AE15" s="1"/>
    </x:row>
    <x:row r="16" ht="18.75" customHeight="1">
      <x:c r="A16" s="387" t="str">
        <x:v>1개월</x:v>
      </x:c>
      <x:c r="B16" s="278" t="n">
        <x:f>COUNTIF('수납'!$Y$5:$Y$204,1)</x:f>
        <x:v>0</x:v>
      </x:c>
      <x:c r="C16" s="278" t="n">
        <x:f>SUMIF('수납'!$Y$5:$Y$204,1,'수납'!$E$5:$E$204)</x:f>
        <x:v>0</x:v>
      </x:c>
      <x:c r="D16" s="1"/>
      <x:c r="E16" s="1"/>
      <x:c r="F16" s="1"/>
      <x:c r="G16" s="1"/>
      <x:c r="H16" s="387" t="str">
        <x:v>이달 종료</x:v>
      </x:c>
      <x:c r="I16" s="278" t="n">
        <x:f>COUNTIF('계약'!$AG$5:$AG$204,"이달")</x:f>
        <x:v>0</x:v>
      </x:c>
      <x:c r="J16" s="278" t="n">
        <x:f>SUMIF('계약'!$AG$5:$AG$204,"이달",'계약'!$K$5:$K$204)</x:f>
        <x:v>0</x:v>
      </x:c>
      <x:c r="K16" s="1"/>
      <x:c r="L16" s="1"/>
      <x:c r="M16" s="1"/>
      <x:c r="N16" s="1"/>
      <x:c r="O16" s="1"/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"/>
      <x:c r="AA16" s="1"/>
      <x:c r="AB16" s="1"/>
      <x:c r="AC16" s="1"/>
      <x:c r="AD16" s="1"/>
      <x:c r="AE16" s="1"/>
    </x:row>
    <x:row r="17" ht="18.75" customHeight="1">
      <x:c r="A17" s="388" t="str">
        <x:v>2개월</x:v>
      </x:c>
      <x:c r="B17" s="279" t="n">
        <x:f>COUNTIF('수납'!$Y$5:$Y$204,2)</x:f>
        <x:v>3</x:v>
      </x:c>
      <x:c r="C17" s="279" t="n">
        <x:f>SUMIF('수납'!$Y$5:$Y$204,2,'수납'!$E$5:$E$204)</x:f>
        <x:v>4680000</x:v>
      </x:c>
      <x:c r="D17" s="1"/>
      <x:c r="E17" s="1"/>
      <x:c r="F17" s="1"/>
      <x:c r="G17" s="1"/>
      <x:c r="H17" s="388" t="str">
        <x:v>다음달 종료</x:v>
      </x:c>
      <x:c r="I17" s="279" t="n">
        <x:f>COUNTIF('계약'!$AG$5:$AG$204,"다음달")</x:f>
        <x:v>1</x:v>
      </x:c>
      <x:c r="J17" s="279" t="n">
        <x:f>SUMIF('계약'!$AG$5:$AG$204,"다음달",'계약'!$K$5:$K$204)</x:f>
        <x:v>1030000</x:v>
      </x:c>
      <x:c r="K17" s="1"/>
      <x:c r="L17" s="1"/>
      <x:c r="M17" s="1"/>
      <x:c r="N17" s="1"/>
      <x:c r="O17" s="1"/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"/>
      <x:c r="AA17" s="1"/>
      <x:c r="AB17" s="1"/>
      <x:c r="AC17" s="1"/>
      <x:c r="AD17" s="1"/>
      <x:c r="AE17" s="1"/>
    </x:row>
    <x:row r="18" ht="18.75" customHeight="1">
      <x:c r="A18" s="389" t="str">
        <x:v>3개월 이상</x:v>
      </x:c>
      <x:c r="B18" s="280" t="n">
        <x:f>COUNTIF('수납'!$Y$5:$Y$204,"&gt;=3")</x:f>
        <x:v>1</x:v>
      </x:c>
      <x:c r="C18" s="280" t="n">
        <x:f>SUMIF('수납'!$Y$5:$Y$204,"&gt;=3",'수납'!$E$5:$E$204)</x:f>
        <x:v>1840000</x:v>
      </x:c>
      <x:c r="D18" s="1"/>
      <x:c r="E18" s="1"/>
      <x:c r="F18" s="1"/>
      <x:c r="G18" s="1"/>
      <x:c r="H18" s="389" t="str">
        <x:v>3개월 내</x:v>
      </x:c>
      <x:c r="I18" s="280" t="n">
        <x:f>COUNTIF('계약'!$AG$5:$AG$204,"이달")+COUNTIF('계약'!$AG$5:$AG$204,"다음달")+COUNTIF('계약'!$AG$5:$AG$204,"3개월 내")</x:f>
        <x:v>2</x:v>
      </x:c>
      <x:c r="J18" s="280" t="n">
        <x:f>SUMIF('계약'!$AG$5:$AG$204,"이달",'계약'!$K$5:$K$204)+SUMIF('계약'!$AG$5:$AG$204,"다음달",'계약'!$K$5:$K$204)+SUMIF('계약'!$AG$5:$AG$204,"3개월 내",'계약'!$K$5:$K$204)</x:f>
        <x:v>1920000</x:v>
      </x:c>
      <x:c r="K18" s="1"/>
      <x:c r="L18" s="1"/>
      <x:c r="M18" s="1"/>
      <x:c r="N18" s="1"/>
      <x:c r="O18" s="1"/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"/>
      <x:c r="AA18" s="1"/>
      <x:c r="AB18" s="1"/>
      <x:c r="AC18" s="1"/>
      <x:c r="AD18" s="1"/>
      <x:c r="AE18" s="1"/>
    </x:row>
    <x:row r="19" ht="18" customHeight="1">
      <x:c r="A19" s="394" t="str">
        <x:v>미수는 당월분이 아니라 누적잔액입니다. 반납·매각 차량도 잔액이 0원이 될 때까지 수납 탭에 남겨 회수합니다.</x:v>
      </x:c>
      <x:c r="B19" s="395"/>
      <x:c r="C19" s="395"/>
      <x:c r="D19" s="395"/>
      <x:c r="E19" s="395"/>
      <x:c r="F19" s="395"/>
      <x:c r="G19" s="1"/>
      <x:c r="H19" s="400" t="str">
        <x:v>종료 3개월 이내 계약과 이미 만료됐지만 반납일이 없는 계약을 먼저 확인합니다. 운영현황의 「잔여」가 만료 또는 3 이하이면 붉게 표시됩니다.</x:v>
      </x:c>
      <x:c r="I19" s="401"/>
      <x:c r="J19" s="401"/>
      <x:c r="K19" s="401"/>
      <x:c r="L19" s="401"/>
      <x:c r="M19" s="401"/>
      <x:c r="N19" s="1"/>
      <x:c r="O19" s="1"/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"/>
      <x:c r="AA19" s="1"/>
      <x:c r="AB19" s="1"/>
      <x:c r="AC19" s="1"/>
      <x:c r="AD19" s="1"/>
      <x:c r="AE19" s="1"/>
    </x:row>
    <x:row r="20" ht="18" customHeight="1">
      <x:c r="A20" s="394"/>
      <x:c r="B20" s="395"/>
      <x:c r="C20" s="395"/>
      <x:c r="D20" s="395"/>
      <x:c r="E20" s="395"/>
      <x:c r="F20" s="395"/>
      <x:c r="G20" s="1"/>
      <x:c r="H20" s="400"/>
      <x:c r="I20" s="401"/>
      <x:c r="J20" s="401"/>
      <x:c r="K20" s="401"/>
      <x:c r="L20" s="401"/>
      <x:c r="M20" s="401"/>
      <x:c r="N20" s="1"/>
      <x:c r="O20" s="1"/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"/>
      <x:c r="AA20" s="1"/>
      <x:c r="AB20" s="1"/>
      <x:c r="AC20" s="1"/>
      <x:c r="AD20" s="1"/>
      <x:c r="AE20" s="1"/>
    </x:row>
    <x:row r="21" ht="18" customHeight="1">
      <x:c r="A21" s="394"/>
      <x:c r="B21" s="395"/>
      <x:c r="C21" s="395"/>
      <x:c r="D21" s="395"/>
      <x:c r="E21" s="395"/>
      <x:c r="F21" s="395"/>
      <x:c r="G21" s="1"/>
      <x:c r="H21" s="400"/>
      <x:c r="I21" s="401"/>
      <x:c r="J21" s="401"/>
      <x:c r="K21" s="401"/>
      <x:c r="L21" s="401"/>
      <x:c r="M21" s="401"/>
      <x:c r="N21" s="1"/>
      <x:c r="O21" s="1"/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"/>
      <x:c r="AA21" s="1"/>
      <x:c r="AB21" s="1"/>
      <x:c r="AC21" s="1"/>
      <x:c r="AD21" s="1"/>
      <x:c r="AE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1"/>
      <x:c r="AA22" s="1"/>
      <x:c r="AB22" s="1"/>
      <x:c r="AC22" s="1"/>
      <x:c r="AD22" s="1"/>
      <x:c r="AE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"/>
      <x:c r="AA23" s="1"/>
      <x:c r="AB23" s="1"/>
      <x:c r="AC23" s="1"/>
      <x:c r="AD23" s="1"/>
      <x:c r="AE23" s="1"/>
    </x:row>
    <x:row r="24">
      <x:c r="A24" s="403" t="str">
        <x:v>입력은 자산·계약·수납 3개 탭에서만 합니다. 요약·운영현황은 잠금 대상 산출 시트입니다.</x:v>
      </x:c>
      <x:c r="B24" s="403"/>
      <x:c r="C24" s="403"/>
      <x:c r="D24" s="403"/>
      <x:c r="E24" s="403"/>
      <x:c r="F24" s="403"/>
      <x:c r="G24" s="403"/>
      <x:c r="H24" s="403"/>
      <x:c r="I24" s="403"/>
      <x:c r="J24" s="403"/>
      <x:c r="K24" s="403"/>
      <x:c r="L24" s="403"/>
      <x:c r="M24" s="403"/>
      <x:c r="N24" s="403"/>
      <x:c r="O24" s="403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  <x:c r="AA24" s="1"/>
      <x:c r="AB24" s="1"/>
      <x:c r="AC24" s="1"/>
      <x:c r="AD24" s="1"/>
      <x:c r="AE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"/>
      <x:c r="AA25" s="1"/>
      <x:c r="AB25" s="1"/>
      <x:c r="AC25" s="1"/>
      <x:c r="AD25" s="1"/>
      <x:c r="AE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"/>
      <x:c r="AA26" s="1"/>
      <x:c r="AB26" s="1"/>
      <x:c r="AC26" s="1"/>
      <x:c r="AD26" s="1"/>
      <x:c r="AE26" s="1"/>
    </x:row>
    <x:row r="27">
      <x:c r="A27" s="405" t="str">
        <x:v>설계 참고: https://claude.ai/code/artifact/6e9a7c43-472d-42ad-817c-69d3b1e5beb9 · 작성일 2026-08-14 · 표본 데이터</x:v>
      </x:c>
      <x:c r="B27" s="405"/>
      <x:c r="C27" s="405"/>
      <x:c r="D27" s="405"/>
      <x:c r="E27" s="405"/>
      <x:c r="F27" s="405"/>
      <x:c r="G27" s="405"/>
      <x:c r="H27" s="405"/>
      <x:c r="I27" s="405"/>
      <x:c r="J27" s="405"/>
      <x:c r="K27" s="405"/>
      <x:c r="L27" s="405"/>
      <x:c r="M27" s="405"/>
      <x:c r="N27" s="405"/>
      <x:c r="O27" s="405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"/>
      <x:c r="AA27" s="1"/>
      <x:c r="AB27" s="1"/>
      <x:c r="AC27" s="1"/>
      <x:c r="AD27" s="1"/>
      <x:c r="AE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"/>
      <x:c r="AA28" s="1"/>
      <x:c r="AB28" s="1"/>
      <x:c r="AC28" s="1"/>
      <x:c r="AD28" s="1"/>
      <x:c r="AE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"/>
      <x:c r="AA29" s="1"/>
      <x:c r="AB29" s="1"/>
      <x:c r="AC29" s="1"/>
      <x:c r="AD29" s="1"/>
      <x:c r="AE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"/>
      <x:c r="AA30" s="1"/>
      <x:c r="AB30" s="1"/>
      <x:c r="AC30" s="1"/>
      <x:c r="AD30" s="1"/>
      <x:c r="AE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"/>
      <x:c r="AA31" s="1"/>
      <x:c r="AB31" s="1"/>
      <x:c r="AC31" s="1"/>
      <x:c r="AD31" s="1"/>
      <x:c r="AE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  <x:c r="AA32" s="1"/>
      <x:c r="AB32" s="1"/>
      <x:c r="AC32" s="1"/>
      <x:c r="AD32" s="1"/>
      <x:c r="AE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"/>
      <x:c r="AA33" s="1"/>
      <x:c r="AB33" s="1"/>
      <x:c r="AC33" s="1"/>
      <x:c r="AD33" s="1"/>
      <x:c r="AE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  <x:c r="AA34" s="1"/>
      <x:c r="AB34" s="1"/>
      <x:c r="AC34" s="1"/>
      <x:c r="AD34" s="1"/>
      <x:c r="AE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  <x:c r="AA35" s="1"/>
      <x:c r="AB35" s="1"/>
      <x:c r="AC35" s="1"/>
      <x:c r="AD35" s="1"/>
      <x:c r="AE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  <x:c r="AA36" s="1"/>
      <x:c r="AB36" s="1"/>
      <x:c r="AC36" s="1"/>
      <x:c r="AD36" s="1"/>
      <x:c r="AE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  <x:c r="AA37" s="1"/>
      <x:c r="AB37" s="1"/>
      <x:c r="AC37" s="1"/>
      <x:c r="AD37" s="1"/>
      <x:c r="AE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  <x:c r="AA38" s="1"/>
      <x:c r="AB38" s="1"/>
      <x:c r="AC38" s="1"/>
      <x:c r="AD38" s="1"/>
      <x:c r="AE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  <x:c r="AA39" s="1"/>
      <x:c r="AB39" s="1"/>
      <x:c r="AC39" s="1"/>
      <x:c r="AD39" s="1"/>
      <x:c r="AE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  <x:c r="AA40" s="1"/>
      <x:c r="AB40" s="1"/>
      <x:c r="AC40" s="1"/>
      <x:c r="AD40" s="1"/>
      <x:c r="AE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  <x:c r="AA41" s="1"/>
      <x:c r="AB41" s="1"/>
      <x:c r="AC41" s="1"/>
      <x:c r="AD41" s="1"/>
      <x:c r="AE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  <x:c r="AA42" s="1"/>
      <x:c r="AB42" s="1"/>
      <x:c r="AC42" s="1"/>
      <x:c r="AD42" s="1"/>
      <x:c r="AE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  <x:c r="AA43" s="1"/>
      <x:c r="AB43" s="1"/>
      <x:c r="AC43" s="1"/>
      <x:c r="AD43" s="1"/>
      <x:c r="AE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  <x:c r="AA44" s="1"/>
      <x:c r="AB44" s="1"/>
      <x:c r="AC44" s="1"/>
      <x:c r="AD44" s="1"/>
      <x:c r="AE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  <x:c r="AA45" s="1"/>
      <x:c r="AB45" s="1"/>
      <x:c r="AC45" s="1"/>
      <x:c r="AD45" s="1"/>
      <x:c r="AE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  <x:c r="AA46" s="1"/>
      <x:c r="AB46" s="1"/>
      <x:c r="AC46" s="1"/>
      <x:c r="AD46" s="1"/>
      <x:c r="AE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  <x:c r="AA47" s="1"/>
      <x:c r="AB47" s="1"/>
      <x:c r="AC47" s="1"/>
      <x:c r="AD47" s="1"/>
      <x:c r="AE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  <x:c r="AA48" s="1"/>
      <x:c r="AB48" s="1"/>
      <x:c r="AC48" s="1"/>
      <x:c r="AD48" s="1"/>
      <x:c r="AE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  <x:c r="AA49" s="1"/>
      <x:c r="AB49" s="1"/>
      <x:c r="AC49" s="1"/>
      <x:c r="AD49" s="1"/>
      <x:c r="AE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  <x:c r="AA50" s="1"/>
      <x:c r="AB50" s="1"/>
      <x:c r="AC50" s="1"/>
      <x:c r="AD50" s="1"/>
      <x:c r="AE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  <x:c r="AA51" s="1"/>
      <x:c r="AB51" s="1"/>
      <x:c r="AC51" s="1"/>
      <x:c r="AD51" s="1"/>
      <x:c r="AE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  <x:c r="AA52" s="1"/>
      <x:c r="AB52" s="1"/>
      <x:c r="AC52" s="1"/>
      <x:c r="AD52" s="1"/>
      <x:c r="AE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  <x:c r="AA53" s="1"/>
      <x:c r="AB53" s="1"/>
      <x:c r="AC53" s="1"/>
      <x:c r="AD53" s="1"/>
      <x:c r="AE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  <x:c r="AA54" s="1"/>
      <x:c r="AB54" s="1"/>
      <x:c r="AC54" s="1"/>
      <x:c r="AD54" s="1"/>
      <x:c r="AE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  <x:c r="AA55" s="1"/>
      <x:c r="AB55" s="1"/>
      <x:c r="AC55" s="1"/>
      <x:c r="AD55" s="1"/>
      <x:c r="AE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  <x:c r="AA56" s="1"/>
      <x:c r="AB56" s="1"/>
      <x:c r="AC56" s="1"/>
      <x:c r="AD56" s="1"/>
      <x:c r="AE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  <x:c r="AA57" s="1"/>
      <x:c r="AB57" s="1"/>
      <x:c r="AC57" s="1"/>
      <x:c r="AD57" s="1"/>
      <x:c r="AE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  <x:c r="AA58" s="1"/>
      <x:c r="AB58" s="1"/>
      <x:c r="AC58" s="1"/>
      <x:c r="AD58" s="1"/>
      <x:c r="AE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  <x:c r="AA59" s="1"/>
      <x:c r="AB59" s="1"/>
      <x:c r="AC59" s="1"/>
      <x:c r="AD59" s="1"/>
      <x:c r="AE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  <x:c r="AA60" s="1"/>
      <x:c r="AB60" s="1"/>
      <x:c r="AC60" s="1"/>
      <x:c r="AD60" s="1"/>
      <x:c r="AE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  <x:c r="AA61" s="1"/>
      <x:c r="AB61" s="1"/>
      <x:c r="AC61" s="1"/>
      <x:c r="AD61" s="1"/>
      <x:c r="AE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  <x:c r="AA62" s="1"/>
      <x:c r="AB62" s="1"/>
      <x:c r="AC62" s="1"/>
      <x:c r="AD62" s="1"/>
      <x:c r="AE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  <x:c r="AA63" s="1"/>
      <x:c r="AB63" s="1"/>
      <x:c r="AC63" s="1"/>
      <x:c r="AD63" s="1"/>
      <x:c r="AE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  <x:c r="AA64" s="1"/>
      <x:c r="AB64" s="1"/>
      <x:c r="AC64" s="1"/>
      <x:c r="AD64" s="1"/>
      <x:c r="AE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  <x:c r="AA65" s="1"/>
      <x:c r="AB65" s="1"/>
      <x:c r="AC65" s="1"/>
      <x:c r="AD65" s="1"/>
      <x:c r="AE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  <x:c r="AA66" s="1"/>
      <x:c r="AB66" s="1"/>
      <x:c r="AC66" s="1"/>
      <x:c r="AD66" s="1"/>
      <x:c r="AE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  <x:c r="AA67" s="1"/>
      <x:c r="AB67" s="1"/>
      <x:c r="AC67" s="1"/>
      <x:c r="AD67" s="1"/>
      <x:c r="AE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  <x:c r="AA68" s="1"/>
      <x:c r="AB68" s="1"/>
      <x:c r="AC68" s="1"/>
      <x:c r="AD68" s="1"/>
      <x:c r="AE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  <x:c r="AA69" s="1"/>
      <x:c r="AB69" s="1"/>
      <x:c r="AC69" s="1"/>
      <x:c r="AD69" s="1"/>
      <x:c r="AE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  <x:c r="AA70" s="1"/>
      <x:c r="AB70" s="1"/>
      <x:c r="AC70" s="1"/>
      <x:c r="AD70" s="1"/>
      <x:c r="AE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  <x:c r="AA71" s="1"/>
      <x:c r="AB71" s="1"/>
      <x:c r="AC71" s="1"/>
      <x:c r="AD71" s="1"/>
      <x:c r="AE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  <x:c r="AA72" s="1"/>
      <x:c r="AB72" s="1"/>
      <x:c r="AC72" s="1"/>
      <x:c r="AD72" s="1"/>
      <x:c r="AE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  <x:c r="AA73" s="1"/>
      <x:c r="AB73" s="1"/>
      <x:c r="AC73" s="1"/>
      <x:c r="AD73" s="1"/>
      <x:c r="AE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  <x:c r="AA74" s="1"/>
      <x:c r="AB74" s="1"/>
      <x:c r="AC74" s="1"/>
      <x:c r="AD74" s="1"/>
      <x:c r="AE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  <x:c r="AA75" s="1"/>
      <x:c r="AB75" s="1"/>
      <x:c r="AC75" s="1"/>
      <x:c r="AD75" s="1"/>
      <x:c r="AE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  <x:c r="AA76" s="1"/>
      <x:c r="AB76" s="1"/>
      <x:c r="AC76" s="1"/>
      <x:c r="AD76" s="1"/>
      <x:c r="AE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  <x:c r="AA77" s="1"/>
      <x:c r="AB77" s="1"/>
      <x:c r="AC77" s="1"/>
      <x:c r="AD77" s="1"/>
      <x:c r="AE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  <x:c r="AA78" s="1"/>
      <x:c r="AB78" s="1"/>
      <x:c r="AC78" s="1"/>
      <x:c r="AD78" s="1"/>
      <x:c r="AE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  <x:c r="AA79" s="1"/>
      <x:c r="AB79" s="1"/>
      <x:c r="AC79" s="1"/>
      <x:c r="AD79" s="1"/>
      <x:c r="AE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  <x:c r="AA80" s="1"/>
      <x:c r="AB80" s="1"/>
      <x:c r="AC80" s="1"/>
      <x:c r="AD80" s="1"/>
      <x:c r="AE80" s="1"/>
    </x:row>
    <x:row r="8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  <x:c r="T81" s="1"/>
      <x:c r="U81" s="1"/>
      <x:c r="V81" s="1"/>
      <x:c r="W81" s="1"/>
      <x:c r="X81" s="1"/>
      <x:c r="Y81" s="1"/>
      <x:c r="Z81" s="1"/>
      <x:c r="AA81" s="1"/>
      <x:c r="AB81" s="1"/>
      <x:c r="AC81" s="1"/>
      <x:c r="AD81" s="1"/>
      <x:c r="AE81" s="1"/>
    </x:row>
    <x:row r="82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  <x:c r="R82" s="1"/>
      <x:c r="S82" s="1"/>
      <x:c r="T82" s="1"/>
      <x:c r="U82" s="1"/>
      <x:c r="V82" s="1"/>
      <x:c r="W82" s="1"/>
      <x:c r="X82" s="1"/>
      <x:c r="Y82" s="1"/>
      <x:c r="Z82" s="1"/>
      <x:c r="AA82" s="1"/>
      <x:c r="AB82" s="1"/>
      <x:c r="AC82" s="1"/>
      <x:c r="AD82" s="1"/>
      <x:c r="AE82" s="1"/>
    </x:row>
    <x:row r="83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  <x:c r="R83" s="1"/>
      <x:c r="S83" s="1"/>
      <x:c r="T83" s="1"/>
      <x:c r="U83" s="1"/>
      <x:c r="V83" s="1"/>
      <x:c r="W83" s="1"/>
      <x:c r="X83" s="1"/>
      <x:c r="Y83" s="1"/>
      <x:c r="Z83" s="1"/>
      <x:c r="AA83" s="1"/>
      <x:c r="AB83" s="1"/>
      <x:c r="AC83" s="1"/>
      <x:c r="AD83" s="1"/>
      <x:c r="AE83" s="1"/>
    </x:row>
    <x:row r="84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  <x:c r="R84" s="1"/>
      <x:c r="S84" s="1"/>
      <x:c r="T84" s="1"/>
      <x:c r="U84" s="1"/>
      <x:c r="V84" s="1"/>
      <x:c r="W84" s="1"/>
      <x:c r="X84" s="1"/>
      <x:c r="Y84" s="1"/>
      <x:c r="Z84" s="1"/>
      <x:c r="AA84" s="1"/>
      <x:c r="AB84" s="1"/>
      <x:c r="AC84" s="1"/>
      <x:c r="AD84" s="1"/>
      <x:c r="AE84" s="1"/>
    </x:row>
    <x:row r="85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  <x:c r="R85" s="1"/>
      <x:c r="S85" s="1"/>
      <x:c r="T85" s="1"/>
      <x:c r="U85" s="1"/>
      <x:c r="V85" s="1"/>
      <x:c r="W85" s="1"/>
      <x:c r="X85" s="1"/>
      <x:c r="Y85" s="1"/>
      <x:c r="Z85" s="1"/>
      <x:c r="AA85" s="1"/>
      <x:c r="AB85" s="1"/>
      <x:c r="AC85" s="1"/>
      <x:c r="AD85" s="1"/>
      <x:c r="AE85" s="1"/>
    </x:row>
    <x:row r="86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  <x:c r="R86" s="1"/>
      <x:c r="S86" s="1"/>
      <x:c r="T86" s="1"/>
      <x:c r="U86" s="1"/>
      <x:c r="V86" s="1"/>
      <x:c r="W86" s="1"/>
      <x:c r="X86" s="1"/>
      <x:c r="Y86" s="1"/>
      <x:c r="Z86" s="1"/>
      <x:c r="AA86" s="1"/>
      <x:c r="AB86" s="1"/>
      <x:c r="AC86" s="1"/>
      <x:c r="AD86" s="1"/>
      <x:c r="AE86" s="1"/>
    </x:row>
    <x:row r="87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  <x:c r="S87" s="1"/>
      <x:c r="T87" s="1"/>
      <x:c r="U87" s="1"/>
      <x:c r="V87" s="1"/>
      <x:c r="W87" s="1"/>
      <x:c r="X87" s="1"/>
      <x:c r="Y87" s="1"/>
      <x:c r="Z87" s="1"/>
      <x:c r="AA87" s="1"/>
      <x:c r="AB87" s="1"/>
      <x:c r="AC87" s="1"/>
      <x:c r="AD87" s="1"/>
      <x:c r="AE87" s="1"/>
    </x:row>
    <x:row r="88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  <x:c r="S88" s="1"/>
      <x:c r="T88" s="1"/>
      <x:c r="U88" s="1"/>
      <x:c r="V88" s="1"/>
      <x:c r="W88" s="1"/>
      <x:c r="X88" s="1"/>
      <x:c r="Y88" s="1"/>
      <x:c r="Z88" s="1"/>
      <x:c r="AA88" s="1"/>
      <x:c r="AB88" s="1"/>
      <x:c r="AC88" s="1"/>
      <x:c r="AD88" s="1"/>
      <x:c r="AE88" s="1"/>
    </x:row>
    <x:row r="89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  <x:c r="R89" s="1"/>
      <x:c r="S89" s="1"/>
      <x:c r="T89" s="1"/>
      <x:c r="U89" s="1"/>
      <x:c r="V89" s="1"/>
      <x:c r="W89" s="1"/>
      <x:c r="X89" s="1"/>
      <x:c r="Y89" s="1"/>
      <x:c r="Z89" s="1"/>
      <x:c r="AA89" s="1"/>
      <x:c r="AB89" s="1"/>
      <x:c r="AC89" s="1"/>
      <x:c r="AD89" s="1"/>
      <x:c r="AE89" s="1"/>
    </x:row>
    <x:row r="90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  <x:c r="S90" s="1"/>
      <x:c r="T90" s="1"/>
      <x:c r="U90" s="1"/>
      <x:c r="V90" s="1"/>
      <x:c r="W90" s="1"/>
      <x:c r="X90" s="1"/>
      <x:c r="Y90" s="1"/>
      <x:c r="Z90" s="1"/>
      <x:c r="AA90" s="1"/>
      <x:c r="AB90" s="1"/>
      <x:c r="AC90" s="1"/>
      <x:c r="AD90" s="1"/>
      <x:c r="AE90" s="1"/>
    </x:row>
    <x:row r="9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  <x:c r="R91" s="1"/>
      <x:c r="S91" s="1"/>
      <x:c r="T91" s="1"/>
      <x:c r="U91" s="1"/>
      <x:c r="V91" s="1"/>
      <x:c r="W91" s="1"/>
      <x:c r="X91" s="1"/>
      <x:c r="Y91" s="1"/>
      <x:c r="Z91" s="1"/>
      <x:c r="AA91" s="1"/>
      <x:c r="AB91" s="1"/>
      <x:c r="AC91" s="1"/>
      <x:c r="AD91" s="1"/>
      <x:c r="AE91" s="1"/>
    </x:row>
    <x:row r="92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  <x:c r="R92" s="1"/>
      <x:c r="S92" s="1"/>
      <x:c r="T92" s="1"/>
      <x:c r="U92" s="1"/>
      <x:c r="V92" s="1"/>
      <x:c r="W92" s="1"/>
      <x:c r="X92" s="1"/>
      <x:c r="Y92" s="1"/>
      <x:c r="Z92" s="1"/>
      <x:c r="AA92" s="1"/>
      <x:c r="AB92" s="1"/>
      <x:c r="AC92" s="1"/>
      <x:c r="AD92" s="1"/>
      <x:c r="AE92" s="1"/>
    </x:row>
    <x:row r="93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  <x:c r="R93" s="1"/>
      <x:c r="S93" s="1"/>
      <x:c r="T93" s="1"/>
      <x:c r="U93" s="1"/>
      <x:c r="V93" s="1"/>
      <x:c r="W93" s="1"/>
      <x:c r="X93" s="1"/>
      <x:c r="Y93" s="1"/>
      <x:c r="Z93" s="1"/>
      <x:c r="AA93" s="1"/>
      <x:c r="AB93" s="1"/>
      <x:c r="AC93" s="1"/>
      <x:c r="AD93" s="1"/>
      <x:c r="AE93" s="1"/>
    </x:row>
    <x:row r="94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  <x:c r="R94" s="1"/>
      <x:c r="S94" s="1"/>
      <x:c r="T94" s="1"/>
      <x:c r="U94" s="1"/>
      <x:c r="V94" s="1"/>
      <x:c r="W94" s="1"/>
      <x:c r="X94" s="1"/>
      <x:c r="Y94" s="1"/>
      <x:c r="Z94" s="1"/>
      <x:c r="AA94" s="1"/>
      <x:c r="AB94" s="1"/>
      <x:c r="AC94" s="1"/>
      <x:c r="AD94" s="1"/>
      <x:c r="AE94" s="1"/>
    </x:row>
    <x:row r="95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  <x:c r="R95" s="1"/>
      <x:c r="S95" s="1"/>
      <x:c r="T95" s="1"/>
      <x:c r="U95" s="1"/>
      <x:c r="V95" s="1"/>
      <x:c r="W95" s="1"/>
      <x:c r="X95" s="1"/>
      <x:c r="Y95" s="1"/>
      <x:c r="Z95" s="1"/>
      <x:c r="AA95" s="1"/>
      <x:c r="AB95" s="1"/>
      <x:c r="AC95" s="1"/>
      <x:c r="AD95" s="1"/>
      <x:c r="AE95" s="1"/>
    </x:row>
    <x:row r="96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  <x:c r="R96" s="1"/>
      <x:c r="S96" s="1"/>
      <x:c r="T96" s="1"/>
      <x:c r="U96" s="1"/>
      <x:c r="V96" s="1"/>
      <x:c r="W96" s="1"/>
      <x:c r="X96" s="1"/>
      <x:c r="Y96" s="1"/>
      <x:c r="Z96" s="1"/>
      <x:c r="AA96" s="1"/>
      <x:c r="AB96" s="1"/>
      <x:c r="AC96" s="1"/>
      <x:c r="AD96" s="1"/>
      <x:c r="AE96" s="1"/>
    </x:row>
    <x:row r="97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  <x:c r="R97" s="1"/>
      <x:c r="S97" s="1"/>
      <x:c r="T97" s="1"/>
      <x:c r="U97" s="1"/>
      <x:c r="V97" s="1"/>
      <x:c r="W97" s="1"/>
      <x:c r="X97" s="1"/>
      <x:c r="Y97" s="1"/>
      <x:c r="Z97" s="1"/>
      <x:c r="AA97" s="1"/>
      <x:c r="AB97" s="1"/>
      <x:c r="AC97" s="1"/>
      <x:c r="AD97" s="1"/>
      <x:c r="AE97" s="1"/>
    </x:row>
    <x:row r="98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  <x:c r="R98" s="1"/>
      <x:c r="S98" s="1"/>
      <x:c r="T98" s="1"/>
      <x:c r="U98" s="1"/>
      <x:c r="V98" s="1"/>
      <x:c r="W98" s="1"/>
      <x:c r="X98" s="1"/>
      <x:c r="Y98" s="1"/>
      <x:c r="Z98" s="1"/>
      <x:c r="AA98" s="1"/>
      <x:c r="AB98" s="1"/>
      <x:c r="AC98" s="1"/>
      <x:c r="AD98" s="1"/>
      <x:c r="AE98" s="1"/>
    </x:row>
    <x:row r="99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  <x:c r="R99" s="1"/>
      <x:c r="S99" s="1"/>
      <x:c r="T99" s="1"/>
      <x:c r="U99" s="1"/>
      <x:c r="V99" s="1"/>
      <x:c r="W99" s="1"/>
      <x:c r="X99" s="1"/>
      <x:c r="Y99" s="1"/>
      <x:c r="Z99" s="1"/>
      <x:c r="AA99" s="1"/>
      <x:c r="AB99" s="1"/>
      <x:c r="AC99" s="1"/>
      <x:c r="AD99" s="1"/>
      <x:c r="AE99" s="1"/>
    </x:row>
    <x:row r="100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  <x:c r="R100" s="1"/>
      <x:c r="S100" s="1"/>
      <x:c r="T100" s="1"/>
      <x:c r="U100" s="1"/>
      <x:c r="V100" s="1"/>
      <x:c r="W100" s="1"/>
      <x:c r="X100" s="1"/>
      <x:c r="Y100" s="1"/>
      <x:c r="Z100" s="1"/>
      <x:c r="AA100" s="1"/>
      <x:c r="AB100" s="1"/>
      <x:c r="AC100" s="1"/>
      <x:c r="AD100" s="1"/>
      <x:c r="AE100" s="1"/>
    </x:row>
    <x:row r="10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  <x:c r="O101" s="1"/>
      <x:c r="P101" s="1"/>
      <x:c r="Q101" s="1"/>
      <x:c r="R101" s="1"/>
      <x:c r="S101" s="1"/>
      <x:c r="T101" s="1"/>
      <x:c r="U101" s="1"/>
      <x:c r="V101" s="1"/>
      <x:c r="W101" s="1"/>
      <x:c r="X101" s="1"/>
      <x:c r="Y101" s="1"/>
      <x:c r="Z101" s="1"/>
      <x:c r="AA101" s="1"/>
      <x:c r="AB101" s="1"/>
      <x:c r="AC101" s="1"/>
      <x:c r="AD101" s="1"/>
      <x:c r="AE101" s="1"/>
    </x:row>
    <x:row r="102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  <x:c r="O102" s="1"/>
      <x:c r="P102" s="1"/>
      <x:c r="Q102" s="1"/>
      <x:c r="R102" s="1"/>
      <x:c r="S102" s="1"/>
      <x:c r="T102" s="1"/>
      <x:c r="U102" s="1"/>
      <x:c r="V102" s="1"/>
      <x:c r="W102" s="1"/>
      <x:c r="X102" s="1"/>
      <x:c r="Y102" s="1"/>
      <x:c r="Z102" s="1"/>
      <x:c r="AA102" s="1"/>
      <x:c r="AB102" s="1"/>
      <x:c r="AC102" s="1"/>
      <x:c r="AD102" s="1"/>
      <x:c r="AE102" s="1"/>
    </x:row>
    <x:row r="103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  <x:c r="O103" s="1"/>
      <x:c r="P103" s="1"/>
      <x:c r="Q103" s="1"/>
      <x:c r="R103" s="1"/>
      <x:c r="S103" s="1"/>
      <x:c r="T103" s="1"/>
      <x:c r="U103" s="1"/>
      <x:c r="V103" s="1"/>
      <x:c r="W103" s="1"/>
      <x:c r="X103" s="1"/>
      <x:c r="Y103" s="1"/>
      <x:c r="Z103" s="1"/>
      <x:c r="AA103" s="1"/>
      <x:c r="AB103" s="1"/>
      <x:c r="AC103" s="1"/>
      <x:c r="AD103" s="1"/>
      <x:c r="AE103" s="1"/>
    </x:row>
    <x:row r="104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  <x:c r="O104" s="1"/>
      <x:c r="P104" s="1"/>
      <x:c r="Q104" s="1"/>
      <x:c r="R104" s="1"/>
      <x:c r="S104" s="1"/>
      <x:c r="T104" s="1"/>
      <x:c r="U104" s="1"/>
      <x:c r="V104" s="1"/>
      <x:c r="W104" s="1"/>
      <x:c r="X104" s="1"/>
      <x:c r="Y104" s="1"/>
      <x:c r="Z104" s="1"/>
      <x:c r="AA104" s="1"/>
      <x:c r="AB104" s="1"/>
      <x:c r="AC104" s="1"/>
      <x:c r="AD104" s="1"/>
      <x:c r="AE104" s="1"/>
    </x:row>
    <x:row r="105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  <x:c r="O105" s="1"/>
      <x:c r="P105" s="1"/>
      <x:c r="Q105" s="1"/>
      <x:c r="R105" s="1"/>
      <x:c r="S105" s="1"/>
      <x:c r="T105" s="1"/>
      <x:c r="U105" s="1"/>
      <x:c r="V105" s="1"/>
      <x:c r="W105" s="1"/>
      <x:c r="X105" s="1"/>
      <x:c r="Y105" s="1"/>
      <x:c r="Z105" s="1"/>
      <x:c r="AA105" s="1"/>
      <x:c r="AB105" s="1"/>
      <x:c r="AC105" s="1"/>
      <x:c r="AD105" s="1"/>
      <x:c r="AE105" s="1"/>
    </x:row>
    <x:row r="106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  <x:c r="O106" s="1"/>
      <x:c r="P106" s="1"/>
      <x:c r="Q106" s="1"/>
      <x:c r="R106" s="1"/>
      <x:c r="S106" s="1"/>
      <x:c r="T106" s="1"/>
      <x:c r="U106" s="1"/>
      <x:c r="V106" s="1"/>
      <x:c r="W106" s="1"/>
      <x:c r="X106" s="1"/>
      <x:c r="Y106" s="1"/>
      <x:c r="Z106" s="1"/>
      <x:c r="AA106" s="1"/>
      <x:c r="AB106" s="1"/>
      <x:c r="AC106" s="1"/>
      <x:c r="AD106" s="1"/>
      <x:c r="AE106" s="1"/>
    </x:row>
    <x:row r="107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  <x:c r="O107" s="1"/>
      <x:c r="P107" s="1"/>
      <x:c r="Q107" s="1"/>
      <x:c r="R107" s="1"/>
      <x:c r="S107" s="1"/>
      <x:c r="T107" s="1"/>
      <x:c r="U107" s="1"/>
      <x:c r="V107" s="1"/>
      <x:c r="W107" s="1"/>
      <x:c r="X107" s="1"/>
      <x:c r="Y107" s="1"/>
      <x:c r="Z107" s="1"/>
      <x:c r="AA107" s="1"/>
      <x:c r="AB107" s="1"/>
      <x:c r="AC107" s="1"/>
      <x:c r="AD107" s="1"/>
      <x:c r="AE107" s="1"/>
    </x:row>
    <x:row r="108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  <x:c r="O108" s="1"/>
      <x:c r="P108" s="1"/>
      <x:c r="Q108" s="1"/>
      <x:c r="R108" s="1"/>
      <x:c r="S108" s="1"/>
      <x:c r="T108" s="1"/>
      <x:c r="U108" s="1"/>
      <x:c r="V108" s="1"/>
      <x:c r="W108" s="1"/>
      <x:c r="X108" s="1"/>
      <x:c r="Y108" s="1"/>
      <x:c r="Z108" s="1"/>
      <x:c r="AA108" s="1"/>
      <x:c r="AB108" s="1"/>
      <x:c r="AC108" s="1"/>
      <x:c r="AD108" s="1"/>
      <x:c r="AE108" s="1"/>
    </x:row>
    <x:row r="109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  <x:c r="O109" s="1"/>
      <x:c r="P109" s="1"/>
      <x:c r="Q109" s="1"/>
      <x:c r="R109" s="1"/>
      <x:c r="S109" s="1"/>
      <x:c r="T109" s="1"/>
      <x:c r="U109" s="1"/>
      <x:c r="V109" s="1"/>
      <x:c r="W109" s="1"/>
      <x:c r="X109" s="1"/>
      <x:c r="Y109" s="1"/>
      <x:c r="Z109" s="1"/>
      <x:c r="AA109" s="1"/>
      <x:c r="AB109" s="1"/>
      <x:c r="AC109" s="1"/>
      <x:c r="AD109" s="1"/>
      <x:c r="AE109" s="1"/>
    </x:row>
    <x:row r="110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  <x:c r="O110" s="1"/>
      <x:c r="P110" s="1"/>
      <x:c r="Q110" s="1"/>
      <x:c r="R110" s="1"/>
      <x:c r="S110" s="1"/>
      <x:c r="T110" s="1"/>
      <x:c r="U110" s="1"/>
      <x:c r="V110" s="1"/>
      <x:c r="W110" s="1"/>
      <x:c r="X110" s="1"/>
      <x:c r="Y110" s="1"/>
      <x:c r="Z110" s="1"/>
      <x:c r="AA110" s="1"/>
      <x:c r="AB110" s="1"/>
      <x:c r="AC110" s="1"/>
      <x:c r="AD110" s="1"/>
      <x:c r="AE110" s="1"/>
    </x:row>
    <x:row r="11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  <x:c r="O111" s="1"/>
      <x:c r="P111" s="1"/>
      <x:c r="Q111" s="1"/>
      <x:c r="R111" s="1"/>
      <x:c r="S111" s="1"/>
      <x:c r="T111" s="1"/>
      <x:c r="U111" s="1"/>
      <x:c r="V111" s="1"/>
      <x:c r="W111" s="1"/>
      <x:c r="X111" s="1"/>
      <x:c r="Y111" s="1"/>
      <x:c r="Z111" s="1"/>
      <x:c r="AA111" s="1"/>
      <x:c r="AB111" s="1"/>
      <x:c r="AC111" s="1"/>
      <x:c r="AD111" s="1"/>
      <x:c r="AE111" s="1"/>
    </x:row>
    <x:row r="112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  <x:c r="O112" s="1"/>
      <x:c r="P112" s="1"/>
      <x:c r="Q112" s="1"/>
      <x:c r="R112" s="1"/>
      <x:c r="S112" s="1"/>
      <x:c r="T112" s="1"/>
      <x:c r="U112" s="1"/>
      <x:c r="V112" s="1"/>
      <x:c r="W112" s="1"/>
      <x:c r="X112" s="1"/>
      <x:c r="Y112" s="1"/>
      <x:c r="Z112" s="1"/>
      <x:c r="AA112" s="1"/>
      <x:c r="AB112" s="1"/>
      <x:c r="AC112" s="1"/>
      <x:c r="AD112" s="1"/>
      <x:c r="AE112" s="1"/>
    </x:row>
    <x:row r="113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  <x:c r="O113" s="1"/>
      <x:c r="P113" s="1"/>
      <x:c r="Q113" s="1"/>
      <x:c r="R113" s="1"/>
      <x:c r="S113" s="1"/>
      <x:c r="T113" s="1"/>
      <x:c r="U113" s="1"/>
      <x:c r="V113" s="1"/>
      <x:c r="W113" s="1"/>
      <x:c r="X113" s="1"/>
      <x:c r="Y113" s="1"/>
      <x:c r="Z113" s="1"/>
      <x:c r="AA113" s="1"/>
      <x:c r="AB113" s="1"/>
      <x:c r="AC113" s="1"/>
      <x:c r="AD113" s="1"/>
      <x:c r="AE113" s="1"/>
    </x:row>
    <x:row r="114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  <x:c r="O114" s="1"/>
      <x:c r="P114" s="1"/>
      <x:c r="Q114" s="1"/>
      <x:c r="R114" s="1"/>
      <x:c r="S114" s="1"/>
      <x:c r="T114" s="1"/>
      <x:c r="U114" s="1"/>
      <x:c r="V114" s="1"/>
      <x:c r="W114" s="1"/>
      <x:c r="X114" s="1"/>
      <x:c r="Y114" s="1"/>
      <x:c r="Z114" s="1"/>
      <x:c r="AA114" s="1"/>
      <x:c r="AB114" s="1"/>
      <x:c r="AC114" s="1"/>
      <x:c r="AD114" s="1"/>
      <x:c r="AE114" s="1"/>
    </x:row>
    <x:row r="115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  <x:c r="O115" s="1"/>
      <x:c r="P115" s="1"/>
      <x:c r="Q115" s="1"/>
      <x:c r="R115" s="1"/>
      <x:c r="S115" s="1"/>
      <x:c r="T115" s="1"/>
      <x:c r="U115" s="1"/>
      <x:c r="V115" s="1"/>
      <x:c r="W115" s="1"/>
      <x:c r="X115" s="1"/>
      <x:c r="Y115" s="1"/>
      <x:c r="Z115" s="1"/>
      <x:c r="AA115" s="1"/>
      <x:c r="AB115" s="1"/>
      <x:c r="AC115" s="1"/>
      <x:c r="AD115" s="1"/>
      <x:c r="AE115" s="1"/>
    </x:row>
    <x:row r="116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  <x:c r="O116" s="1"/>
      <x:c r="P116" s="1"/>
      <x:c r="Q116" s="1"/>
      <x:c r="R116" s="1"/>
      <x:c r="S116" s="1"/>
      <x:c r="T116" s="1"/>
      <x:c r="U116" s="1"/>
      <x:c r="V116" s="1"/>
      <x:c r="W116" s="1"/>
      <x:c r="X116" s="1"/>
      <x:c r="Y116" s="1"/>
      <x:c r="Z116" s="1"/>
      <x:c r="AA116" s="1"/>
      <x:c r="AB116" s="1"/>
      <x:c r="AC116" s="1"/>
      <x:c r="AD116" s="1"/>
      <x:c r="AE116" s="1"/>
    </x:row>
    <x:row r="117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  <x:c r="O117" s="1"/>
      <x:c r="P117" s="1"/>
      <x:c r="Q117" s="1"/>
      <x:c r="R117" s="1"/>
      <x:c r="S117" s="1"/>
      <x:c r="T117" s="1"/>
      <x:c r="U117" s="1"/>
      <x:c r="V117" s="1"/>
      <x:c r="W117" s="1"/>
      <x:c r="X117" s="1"/>
      <x:c r="Y117" s="1"/>
      <x:c r="Z117" s="1"/>
      <x:c r="AA117" s="1"/>
      <x:c r="AB117" s="1"/>
      <x:c r="AC117" s="1"/>
      <x:c r="AD117" s="1"/>
      <x:c r="AE117" s="1"/>
    </x:row>
    <x:row r="118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  <x:c r="O118" s="1"/>
      <x:c r="P118" s="1"/>
      <x:c r="Q118" s="1"/>
      <x:c r="R118" s="1"/>
      <x:c r="S118" s="1"/>
      <x:c r="T118" s="1"/>
      <x:c r="U118" s="1"/>
      <x:c r="V118" s="1"/>
      <x:c r="W118" s="1"/>
      <x:c r="X118" s="1"/>
      <x:c r="Y118" s="1"/>
      <x:c r="Z118" s="1"/>
      <x:c r="AA118" s="1"/>
      <x:c r="AB118" s="1"/>
      <x:c r="AC118" s="1"/>
      <x:c r="AD118" s="1"/>
      <x:c r="AE118" s="1"/>
    </x:row>
    <x:row r="119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  <x:c r="O119" s="1"/>
      <x:c r="P119" s="1"/>
      <x:c r="Q119" s="1"/>
      <x:c r="R119" s="1"/>
      <x:c r="S119" s="1"/>
      <x:c r="T119" s="1"/>
      <x:c r="U119" s="1"/>
      <x:c r="V119" s="1"/>
      <x:c r="W119" s="1"/>
      <x:c r="X119" s="1"/>
      <x:c r="Y119" s="1"/>
      <x:c r="Z119" s="1"/>
      <x:c r="AA119" s="1"/>
      <x:c r="AB119" s="1"/>
      <x:c r="AC119" s="1"/>
      <x:c r="AD119" s="1"/>
      <x:c r="AE119" s="1"/>
    </x:row>
    <x:row r="120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  <x:c r="O120" s="1"/>
      <x:c r="P120" s="1"/>
      <x:c r="Q120" s="1"/>
      <x:c r="R120" s="1"/>
      <x:c r="S120" s="1"/>
      <x:c r="T120" s="1"/>
      <x:c r="U120" s="1"/>
      <x:c r="V120" s="1"/>
      <x:c r="W120" s="1"/>
      <x:c r="X120" s="1"/>
      <x:c r="Y120" s="1"/>
      <x:c r="Z120" s="1"/>
      <x:c r="AA120" s="1"/>
      <x:c r="AB120" s="1"/>
      <x:c r="AC120" s="1"/>
      <x:c r="AD120" s="1"/>
      <x:c r="AE120" s="1"/>
    </x:row>
    <x:row r="12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  <x:c r="L121" s="1"/>
      <x:c r="M121" s="1"/>
      <x:c r="N121" s="1"/>
      <x:c r="O121" s="1"/>
      <x:c r="P121" s="1"/>
      <x:c r="Q121" s="1"/>
      <x:c r="R121" s="1"/>
      <x:c r="S121" s="1"/>
      <x:c r="T121" s="1"/>
      <x:c r="U121" s="1"/>
      <x:c r="V121" s="1"/>
      <x:c r="W121" s="1"/>
      <x:c r="X121" s="1"/>
      <x:c r="Y121" s="1"/>
      <x:c r="Z121" s="1"/>
      <x:c r="AA121" s="1"/>
      <x:c r="AB121" s="1"/>
      <x:c r="AC121" s="1"/>
      <x:c r="AD121" s="1"/>
      <x:c r="AE121" s="1"/>
    </x:row>
    <x:row r="122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  <x:c r="L122" s="1"/>
      <x:c r="M122" s="1"/>
      <x:c r="N122" s="1"/>
      <x:c r="O122" s="1"/>
      <x:c r="P122" s="1"/>
      <x:c r="Q122" s="1"/>
      <x:c r="R122" s="1"/>
      <x:c r="S122" s="1"/>
      <x:c r="T122" s="1"/>
      <x:c r="U122" s="1"/>
      <x:c r="V122" s="1"/>
      <x:c r="W122" s="1"/>
      <x:c r="X122" s="1"/>
      <x:c r="Y122" s="1"/>
      <x:c r="Z122" s="1"/>
      <x:c r="AA122" s="1"/>
      <x:c r="AB122" s="1"/>
      <x:c r="AC122" s="1"/>
      <x:c r="AD122" s="1"/>
      <x:c r="AE122" s="1"/>
    </x:row>
    <x:row r="123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  <x:c r="L123" s="1"/>
      <x:c r="M123" s="1"/>
      <x:c r="N123" s="1"/>
      <x:c r="O123" s="1"/>
      <x:c r="P123" s="1"/>
      <x:c r="Q123" s="1"/>
      <x:c r="R123" s="1"/>
      <x:c r="S123" s="1"/>
      <x:c r="T123" s="1"/>
      <x:c r="U123" s="1"/>
      <x:c r="V123" s="1"/>
      <x:c r="W123" s="1"/>
      <x:c r="X123" s="1"/>
      <x:c r="Y123" s="1"/>
      <x:c r="Z123" s="1"/>
      <x:c r="AA123" s="1"/>
      <x:c r="AB123" s="1"/>
      <x:c r="AC123" s="1"/>
      <x:c r="AD123" s="1"/>
      <x:c r="AE123" s="1"/>
    </x:row>
    <x:row r="124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  <x:c r="L124" s="1"/>
      <x:c r="M124" s="1"/>
      <x:c r="N124" s="1"/>
      <x:c r="O124" s="1"/>
      <x:c r="P124" s="1"/>
      <x:c r="Q124" s="1"/>
      <x:c r="R124" s="1"/>
      <x:c r="S124" s="1"/>
      <x:c r="T124" s="1"/>
      <x:c r="U124" s="1"/>
      <x:c r="V124" s="1"/>
      <x:c r="W124" s="1"/>
      <x:c r="X124" s="1"/>
      <x:c r="Y124" s="1"/>
      <x:c r="Z124" s="1"/>
      <x:c r="AA124" s="1"/>
      <x:c r="AB124" s="1"/>
      <x:c r="AC124" s="1"/>
      <x:c r="AD124" s="1"/>
      <x:c r="AE124" s="1"/>
    </x:row>
    <x:row r="125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  <x:c r="L125" s="1"/>
      <x:c r="M125" s="1"/>
      <x:c r="N125" s="1"/>
      <x:c r="O125" s="1"/>
      <x:c r="P125" s="1"/>
      <x:c r="Q125" s="1"/>
      <x:c r="R125" s="1"/>
      <x:c r="S125" s="1"/>
      <x:c r="T125" s="1"/>
      <x:c r="U125" s="1"/>
      <x:c r="V125" s="1"/>
      <x:c r="W125" s="1"/>
      <x:c r="X125" s="1"/>
      <x:c r="Y125" s="1"/>
      <x:c r="Z125" s="1"/>
      <x:c r="AA125" s="1"/>
      <x:c r="AB125" s="1"/>
      <x:c r="AC125" s="1"/>
      <x:c r="AD125" s="1"/>
      <x:c r="AE125" s="1"/>
    </x:row>
    <x:row r="126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  <x:c r="M126" s="1"/>
      <x:c r="N126" s="1"/>
      <x:c r="O126" s="1"/>
      <x:c r="P126" s="1"/>
      <x:c r="Q126" s="1"/>
      <x:c r="R126" s="1"/>
      <x:c r="S126" s="1"/>
      <x:c r="T126" s="1"/>
      <x:c r="U126" s="1"/>
      <x:c r="V126" s="1"/>
      <x:c r="W126" s="1"/>
      <x:c r="X126" s="1"/>
      <x:c r="Y126" s="1"/>
      <x:c r="Z126" s="1"/>
      <x:c r="AA126" s="1"/>
      <x:c r="AB126" s="1"/>
      <x:c r="AC126" s="1"/>
      <x:c r="AD126" s="1"/>
      <x:c r="AE126" s="1"/>
    </x:row>
    <x:row r="127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  <x:c r="M127" s="1"/>
      <x:c r="N127" s="1"/>
      <x:c r="O127" s="1"/>
      <x:c r="P127" s="1"/>
      <x:c r="Q127" s="1"/>
      <x:c r="R127" s="1"/>
      <x:c r="S127" s="1"/>
      <x:c r="T127" s="1"/>
      <x:c r="U127" s="1"/>
      <x:c r="V127" s="1"/>
      <x:c r="W127" s="1"/>
      <x:c r="X127" s="1"/>
      <x:c r="Y127" s="1"/>
      <x:c r="Z127" s="1"/>
      <x:c r="AA127" s="1"/>
      <x:c r="AB127" s="1"/>
      <x:c r="AC127" s="1"/>
      <x:c r="AD127" s="1"/>
      <x:c r="AE127" s="1"/>
    </x:row>
    <x:row r="128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  <x:c r="M128" s="1"/>
      <x:c r="N128" s="1"/>
      <x:c r="O128" s="1"/>
      <x:c r="P128" s="1"/>
      <x:c r="Q128" s="1"/>
      <x:c r="R128" s="1"/>
      <x:c r="S128" s="1"/>
      <x:c r="T128" s="1"/>
      <x:c r="U128" s="1"/>
      <x:c r="V128" s="1"/>
      <x:c r="W128" s="1"/>
      <x:c r="X128" s="1"/>
      <x:c r="Y128" s="1"/>
      <x:c r="Z128" s="1"/>
      <x:c r="AA128" s="1"/>
      <x:c r="AB128" s="1"/>
      <x:c r="AC128" s="1"/>
      <x:c r="AD128" s="1"/>
      <x:c r="AE128" s="1"/>
    </x:row>
    <x:row r="129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  <x:c r="L129" s="1"/>
      <x:c r="M129" s="1"/>
      <x:c r="N129" s="1"/>
      <x:c r="O129" s="1"/>
      <x:c r="P129" s="1"/>
      <x:c r="Q129" s="1"/>
      <x:c r="R129" s="1"/>
      <x:c r="S129" s="1"/>
      <x:c r="T129" s="1"/>
      <x:c r="U129" s="1"/>
      <x:c r="V129" s="1"/>
      <x:c r="W129" s="1"/>
      <x:c r="X129" s="1"/>
      <x:c r="Y129" s="1"/>
      <x:c r="Z129" s="1"/>
      <x:c r="AA129" s="1"/>
      <x:c r="AB129" s="1"/>
      <x:c r="AC129" s="1"/>
      <x:c r="AD129" s="1"/>
      <x:c r="AE129" s="1"/>
    </x:row>
    <x:row r="130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  <x:c r="L130" s="1"/>
      <x:c r="M130" s="1"/>
      <x:c r="N130" s="1"/>
      <x:c r="O130" s="1"/>
      <x:c r="P130" s="1"/>
      <x:c r="Q130" s="1"/>
      <x:c r="R130" s="1"/>
      <x:c r="S130" s="1"/>
      <x:c r="T130" s="1"/>
      <x:c r="U130" s="1"/>
      <x:c r="V130" s="1"/>
      <x:c r="W130" s="1"/>
      <x:c r="X130" s="1"/>
      <x:c r="Y130" s="1"/>
      <x:c r="Z130" s="1"/>
      <x:c r="AA130" s="1"/>
      <x:c r="AB130" s="1"/>
      <x:c r="AC130" s="1"/>
      <x:c r="AD130" s="1"/>
      <x:c r="AE130" s="1"/>
    </x:row>
    <x:row r="13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  <x:c r="L131" s="1"/>
      <x:c r="M131" s="1"/>
      <x:c r="N131" s="1"/>
      <x:c r="O131" s="1"/>
      <x:c r="P131" s="1"/>
      <x:c r="Q131" s="1"/>
      <x:c r="R131" s="1"/>
      <x:c r="S131" s="1"/>
      <x:c r="T131" s="1"/>
      <x:c r="U131" s="1"/>
      <x:c r="V131" s="1"/>
      <x:c r="W131" s="1"/>
      <x:c r="X131" s="1"/>
      <x:c r="Y131" s="1"/>
      <x:c r="Z131" s="1"/>
      <x:c r="AA131" s="1"/>
      <x:c r="AB131" s="1"/>
      <x:c r="AC131" s="1"/>
      <x:c r="AD131" s="1"/>
      <x:c r="AE131" s="1"/>
    </x:row>
    <x:row r="132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  <x:c r="L132" s="1"/>
      <x:c r="M132" s="1"/>
      <x:c r="N132" s="1"/>
      <x:c r="O132" s="1"/>
      <x:c r="P132" s="1"/>
      <x:c r="Q132" s="1"/>
      <x:c r="R132" s="1"/>
      <x:c r="S132" s="1"/>
      <x:c r="T132" s="1"/>
      <x:c r="U132" s="1"/>
      <x:c r="V132" s="1"/>
      <x:c r="W132" s="1"/>
      <x:c r="X132" s="1"/>
      <x:c r="Y132" s="1"/>
      <x:c r="Z132" s="1"/>
      <x:c r="AA132" s="1"/>
      <x:c r="AB132" s="1"/>
      <x:c r="AC132" s="1"/>
      <x:c r="AD132" s="1"/>
      <x:c r="AE132" s="1"/>
    </x:row>
    <x:row r="133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  <x:c r="L133" s="1"/>
      <x:c r="M133" s="1"/>
      <x:c r="N133" s="1"/>
      <x:c r="O133" s="1"/>
      <x:c r="P133" s="1"/>
      <x:c r="Q133" s="1"/>
      <x:c r="R133" s="1"/>
      <x:c r="S133" s="1"/>
      <x:c r="T133" s="1"/>
      <x:c r="U133" s="1"/>
      <x:c r="V133" s="1"/>
      <x:c r="W133" s="1"/>
      <x:c r="X133" s="1"/>
      <x:c r="Y133" s="1"/>
      <x:c r="Z133" s="1"/>
      <x:c r="AA133" s="1"/>
      <x:c r="AB133" s="1"/>
      <x:c r="AC133" s="1"/>
      <x:c r="AD133" s="1"/>
      <x:c r="AE133" s="1"/>
    </x:row>
    <x:row r="134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  <x:c r="L134" s="1"/>
      <x:c r="M134" s="1"/>
      <x:c r="N134" s="1"/>
      <x:c r="O134" s="1"/>
      <x:c r="P134" s="1"/>
      <x:c r="Q134" s="1"/>
      <x:c r="R134" s="1"/>
      <x:c r="S134" s="1"/>
      <x:c r="T134" s="1"/>
      <x:c r="U134" s="1"/>
      <x:c r="V134" s="1"/>
      <x:c r="W134" s="1"/>
      <x:c r="X134" s="1"/>
      <x:c r="Y134" s="1"/>
      <x:c r="Z134" s="1"/>
      <x:c r="AA134" s="1"/>
      <x:c r="AB134" s="1"/>
      <x:c r="AC134" s="1"/>
      <x:c r="AD134" s="1"/>
      <x:c r="AE134" s="1"/>
    </x:row>
    <x:row r="135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  <x:c r="L135" s="1"/>
      <x:c r="M135" s="1"/>
      <x:c r="N135" s="1"/>
      <x:c r="O135" s="1"/>
      <x:c r="P135" s="1"/>
      <x:c r="Q135" s="1"/>
      <x:c r="R135" s="1"/>
      <x:c r="S135" s="1"/>
      <x:c r="T135" s="1"/>
      <x:c r="U135" s="1"/>
      <x:c r="V135" s="1"/>
      <x:c r="W135" s="1"/>
      <x:c r="X135" s="1"/>
      <x:c r="Y135" s="1"/>
      <x:c r="Z135" s="1"/>
      <x:c r="AA135" s="1"/>
      <x:c r="AB135" s="1"/>
      <x:c r="AC135" s="1"/>
      <x:c r="AD135" s="1"/>
      <x:c r="AE135" s="1"/>
    </x:row>
    <x:row r="136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  <x:c r="L136" s="1"/>
      <x:c r="M136" s="1"/>
      <x:c r="N136" s="1"/>
      <x:c r="O136" s="1"/>
      <x:c r="P136" s="1"/>
      <x:c r="Q136" s="1"/>
      <x:c r="R136" s="1"/>
      <x:c r="S136" s="1"/>
      <x:c r="T136" s="1"/>
      <x:c r="U136" s="1"/>
      <x:c r="V136" s="1"/>
      <x:c r="W136" s="1"/>
      <x:c r="X136" s="1"/>
      <x:c r="Y136" s="1"/>
      <x:c r="Z136" s="1"/>
      <x:c r="AA136" s="1"/>
      <x:c r="AB136" s="1"/>
      <x:c r="AC136" s="1"/>
      <x:c r="AD136" s="1"/>
      <x:c r="AE136" s="1"/>
    </x:row>
    <x:row r="137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  <x:c r="L137" s="1"/>
      <x:c r="M137" s="1"/>
      <x:c r="N137" s="1"/>
      <x:c r="O137" s="1"/>
      <x:c r="P137" s="1"/>
      <x:c r="Q137" s="1"/>
      <x:c r="R137" s="1"/>
      <x:c r="S137" s="1"/>
      <x:c r="T137" s="1"/>
      <x:c r="U137" s="1"/>
      <x:c r="V137" s="1"/>
      <x:c r="W137" s="1"/>
      <x:c r="X137" s="1"/>
      <x:c r="Y137" s="1"/>
      <x:c r="Z137" s="1"/>
      <x:c r="AA137" s="1"/>
      <x:c r="AB137" s="1"/>
      <x:c r="AC137" s="1"/>
      <x:c r="AD137" s="1"/>
      <x:c r="AE137" s="1"/>
    </x:row>
    <x:row r="138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  <x:c r="L138" s="1"/>
      <x:c r="M138" s="1"/>
      <x:c r="N138" s="1"/>
      <x:c r="O138" s="1"/>
      <x:c r="P138" s="1"/>
      <x:c r="Q138" s="1"/>
      <x:c r="R138" s="1"/>
      <x:c r="S138" s="1"/>
      <x:c r="T138" s="1"/>
      <x:c r="U138" s="1"/>
      <x:c r="V138" s="1"/>
      <x:c r="W138" s="1"/>
      <x:c r="X138" s="1"/>
      <x:c r="Y138" s="1"/>
      <x:c r="Z138" s="1"/>
      <x:c r="AA138" s="1"/>
      <x:c r="AB138" s="1"/>
      <x:c r="AC138" s="1"/>
      <x:c r="AD138" s="1"/>
      <x:c r="AE138" s="1"/>
    </x:row>
    <x:row r="139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  <x:c r="L139" s="1"/>
      <x:c r="M139" s="1"/>
      <x:c r="N139" s="1"/>
      <x:c r="O139" s="1"/>
      <x:c r="P139" s="1"/>
      <x:c r="Q139" s="1"/>
      <x:c r="R139" s="1"/>
      <x:c r="S139" s="1"/>
      <x:c r="T139" s="1"/>
      <x:c r="U139" s="1"/>
      <x:c r="V139" s="1"/>
      <x:c r="W139" s="1"/>
      <x:c r="X139" s="1"/>
      <x:c r="Y139" s="1"/>
      <x:c r="Z139" s="1"/>
      <x:c r="AA139" s="1"/>
      <x:c r="AB139" s="1"/>
      <x:c r="AC139" s="1"/>
      <x:c r="AD139" s="1"/>
      <x:c r="AE139" s="1"/>
    </x:row>
    <x:row r="140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  <x:c r="L140" s="1"/>
      <x:c r="M140" s="1"/>
      <x:c r="N140" s="1"/>
      <x:c r="O140" s="1"/>
      <x:c r="P140" s="1"/>
      <x:c r="Q140" s="1"/>
      <x:c r="R140" s="1"/>
      <x:c r="S140" s="1"/>
      <x:c r="T140" s="1"/>
      <x:c r="U140" s="1"/>
      <x:c r="V140" s="1"/>
      <x:c r="W140" s="1"/>
      <x:c r="X140" s="1"/>
      <x:c r="Y140" s="1"/>
      <x:c r="Z140" s="1"/>
      <x:c r="AA140" s="1"/>
      <x:c r="AB140" s="1"/>
      <x:c r="AC140" s="1"/>
      <x:c r="AD140" s="1"/>
      <x:c r="AE140" s="1"/>
    </x:row>
    <x:row r="14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  <x:c r="L141" s="1"/>
      <x:c r="M141" s="1"/>
      <x:c r="N141" s="1"/>
      <x:c r="O141" s="1"/>
      <x:c r="P141" s="1"/>
      <x:c r="Q141" s="1"/>
      <x:c r="R141" s="1"/>
      <x:c r="S141" s="1"/>
      <x:c r="T141" s="1"/>
      <x:c r="U141" s="1"/>
      <x:c r="V141" s="1"/>
      <x:c r="W141" s="1"/>
      <x:c r="X141" s="1"/>
      <x:c r="Y141" s="1"/>
      <x:c r="Z141" s="1"/>
      <x:c r="AA141" s="1"/>
      <x:c r="AB141" s="1"/>
      <x:c r="AC141" s="1"/>
      <x:c r="AD141" s="1"/>
      <x:c r="AE141" s="1"/>
    </x:row>
    <x:row r="142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  <x:c r="L142" s="1"/>
      <x:c r="M142" s="1"/>
      <x:c r="N142" s="1"/>
      <x:c r="O142" s="1"/>
      <x:c r="P142" s="1"/>
      <x:c r="Q142" s="1"/>
      <x:c r="R142" s="1"/>
      <x:c r="S142" s="1"/>
      <x:c r="T142" s="1"/>
      <x:c r="U142" s="1"/>
      <x:c r="V142" s="1"/>
      <x:c r="W142" s="1"/>
      <x:c r="X142" s="1"/>
      <x:c r="Y142" s="1"/>
      <x:c r="Z142" s="1"/>
      <x:c r="AA142" s="1"/>
      <x:c r="AB142" s="1"/>
      <x:c r="AC142" s="1"/>
      <x:c r="AD142" s="1"/>
      <x:c r="AE142" s="1"/>
    </x:row>
    <x:row r="143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  <x:c r="L143" s="1"/>
      <x:c r="M143" s="1"/>
      <x:c r="N143" s="1"/>
      <x:c r="O143" s="1"/>
      <x:c r="P143" s="1"/>
      <x:c r="Q143" s="1"/>
      <x:c r="R143" s="1"/>
      <x:c r="S143" s="1"/>
      <x:c r="T143" s="1"/>
      <x:c r="U143" s="1"/>
      <x:c r="V143" s="1"/>
      <x:c r="W143" s="1"/>
      <x:c r="X143" s="1"/>
      <x:c r="Y143" s="1"/>
      <x:c r="Z143" s="1"/>
      <x:c r="AA143" s="1"/>
      <x:c r="AB143" s="1"/>
      <x:c r="AC143" s="1"/>
      <x:c r="AD143" s="1"/>
      <x:c r="AE143" s="1"/>
    </x:row>
    <x:row r="144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  <x:c r="L144" s="1"/>
      <x:c r="M144" s="1"/>
      <x:c r="N144" s="1"/>
      <x:c r="O144" s="1"/>
      <x:c r="P144" s="1"/>
      <x:c r="Q144" s="1"/>
      <x:c r="R144" s="1"/>
      <x:c r="S144" s="1"/>
      <x:c r="T144" s="1"/>
      <x:c r="U144" s="1"/>
      <x:c r="V144" s="1"/>
      <x:c r="W144" s="1"/>
      <x:c r="X144" s="1"/>
      <x:c r="Y144" s="1"/>
      <x:c r="Z144" s="1"/>
      <x:c r="AA144" s="1"/>
      <x:c r="AB144" s="1"/>
      <x:c r="AC144" s="1"/>
      <x:c r="AD144" s="1"/>
      <x:c r="AE144" s="1"/>
    </x:row>
    <x:row r="145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  <x:c r="L145" s="1"/>
      <x:c r="M145" s="1"/>
      <x:c r="N145" s="1"/>
      <x:c r="O145" s="1"/>
      <x:c r="P145" s="1"/>
      <x:c r="Q145" s="1"/>
      <x:c r="R145" s="1"/>
      <x:c r="S145" s="1"/>
      <x:c r="T145" s="1"/>
      <x:c r="U145" s="1"/>
      <x:c r="V145" s="1"/>
      <x:c r="W145" s="1"/>
      <x:c r="X145" s="1"/>
      <x:c r="Y145" s="1"/>
      <x:c r="Z145" s="1"/>
      <x:c r="AA145" s="1"/>
      <x:c r="AB145" s="1"/>
      <x:c r="AC145" s="1"/>
      <x:c r="AD145" s="1"/>
      <x:c r="AE145" s="1"/>
    </x:row>
    <x:row r="146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  <x:c r="L146" s="1"/>
      <x:c r="M146" s="1"/>
      <x:c r="N146" s="1"/>
      <x:c r="O146" s="1"/>
      <x:c r="P146" s="1"/>
      <x:c r="Q146" s="1"/>
      <x:c r="R146" s="1"/>
      <x:c r="S146" s="1"/>
      <x:c r="T146" s="1"/>
      <x:c r="U146" s="1"/>
      <x:c r="V146" s="1"/>
      <x:c r="W146" s="1"/>
      <x:c r="X146" s="1"/>
      <x:c r="Y146" s="1"/>
      <x:c r="Z146" s="1"/>
      <x:c r="AA146" s="1"/>
      <x:c r="AB146" s="1"/>
      <x:c r="AC146" s="1"/>
      <x:c r="AD146" s="1"/>
      <x:c r="AE146" s="1"/>
    </x:row>
    <x:row r="147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  <x:c r="L147" s="1"/>
      <x:c r="M147" s="1"/>
      <x:c r="N147" s="1"/>
      <x:c r="O147" s="1"/>
      <x:c r="P147" s="1"/>
      <x:c r="Q147" s="1"/>
      <x:c r="R147" s="1"/>
      <x:c r="S147" s="1"/>
      <x:c r="T147" s="1"/>
      <x:c r="U147" s="1"/>
      <x:c r="V147" s="1"/>
      <x:c r="W147" s="1"/>
      <x:c r="X147" s="1"/>
      <x:c r="Y147" s="1"/>
      <x:c r="Z147" s="1"/>
      <x:c r="AA147" s="1"/>
      <x:c r="AB147" s="1"/>
      <x:c r="AC147" s="1"/>
      <x:c r="AD147" s="1"/>
      <x:c r="AE147" s="1"/>
    </x:row>
    <x:row r="148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  <x:c r="M148" s="1"/>
      <x:c r="N148" s="1"/>
      <x:c r="O148" s="1"/>
      <x:c r="P148" s="1"/>
      <x:c r="Q148" s="1"/>
      <x:c r="R148" s="1"/>
      <x:c r="S148" s="1"/>
      <x:c r="T148" s="1"/>
      <x:c r="U148" s="1"/>
      <x:c r="V148" s="1"/>
      <x:c r="W148" s="1"/>
      <x:c r="X148" s="1"/>
      <x:c r="Y148" s="1"/>
      <x:c r="Z148" s="1"/>
      <x:c r="AA148" s="1"/>
      <x:c r="AB148" s="1"/>
      <x:c r="AC148" s="1"/>
      <x:c r="AD148" s="1"/>
      <x:c r="AE148" s="1"/>
    </x:row>
    <x:row r="149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  <x:c r="N149" s="1"/>
      <x:c r="O149" s="1"/>
      <x:c r="P149" s="1"/>
      <x:c r="Q149" s="1"/>
      <x:c r="R149" s="1"/>
      <x:c r="S149" s="1"/>
      <x:c r="T149" s="1"/>
      <x:c r="U149" s="1"/>
      <x:c r="V149" s="1"/>
      <x:c r="W149" s="1"/>
      <x:c r="X149" s="1"/>
      <x:c r="Y149" s="1"/>
      <x:c r="Z149" s="1"/>
      <x:c r="AA149" s="1"/>
      <x:c r="AB149" s="1"/>
      <x:c r="AC149" s="1"/>
      <x:c r="AD149" s="1"/>
      <x:c r="AE149" s="1"/>
    </x:row>
    <x:row r="150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  <x:c r="N150" s="1"/>
      <x:c r="O150" s="1"/>
      <x:c r="P150" s="1"/>
      <x:c r="Q150" s="1"/>
      <x:c r="R150" s="1"/>
      <x:c r="S150" s="1"/>
      <x:c r="T150" s="1"/>
      <x:c r="U150" s="1"/>
      <x:c r="V150" s="1"/>
      <x:c r="W150" s="1"/>
      <x:c r="X150" s="1"/>
      <x:c r="Y150" s="1"/>
      <x:c r="Z150" s="1"/>
      <x:c r="AA150" s="1"/>
      <x:c r="AB150" s="1"/>
      <x:c r="AC150" s="1"/>
      <x:c r="AD150" s="1"/>
      <x:c r="AE150" s="1"/>
    </x:row>
    <x:row r="15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  <x:c r="L151" s="1"/>
      <x:c r="M151" s="1"/>
      <x:c r="N151" s="1"/>
      <x:c r="O151" s="1"/>
      <x:c r="P151" s="1"/>
      <x:c r="Q151" s="1"/>
      <x:c r="R151" s="1"/>
      <x:c r="S151" s="1"/>
      <x:c r="T151" s="1"/>
      <x:c r="U151" s="1"/>
      <x:c r="V151" s="1"/>
      <x:c r="W151" s="1"/>
      <x:c r="X151" s="1"/>
      <x:c r="Y151" s="1"/>
      <x:c r="Z151" s="1"/>
      <x:c r="AA151" s="1"/>
      <x:c r="AB151" s="1"/>
      <x:c r="AC151" s="1"/>
      <x:c r="AD151" s="1"/>
      <x:c r="AE151" s="1"/>
    </x:row>
    <x:row r="152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  <x:c r="L152" s="1"/>
      <x:c r="M152" s="1"/>
      <x:c r="N152" s="1"/>
      <x:c r="O152" s="1"/>
      <x:c r="P152" s="1"/>
      <x:c r="Q152" s="1"/>
      <x:c r="R152" s="1"/>
      <x:c r="S152" s="1"/>
      <x:c r="T152" s="1"/>
      <x:c r="U152" s="1"/>
      <x:c r="V152" s="1"/>
      <x:c r="W152" s="1"/>
      <x:c r="X152" s="1"/>
      <x:c r="Y152" s="1"/>
      <x:c r="Z152" s="1"/>
      <x:c r="AA152" s="1"/>
      <x:c r="AB152" s="1"/>
      <x:c r="AC152" s="1"/>
      <x:c r="AD152" s="1"/>
      <x:c r="AE152" s="1"/>
    </x:row>
    <x:row r="153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  <x:c r="L153" s="1"/>
      <x:c r="M153" s="1"/>
      <x:c r="N153" s="1"/>
      <x:c r="O153" s="1"/>
      <x:c r="P153" s="1"/>
      <x:c r="Q153" s="1"/>
      <x:c r="R153" s="1"/>
      <x:c r="S153" s="1"/>
      <x:c r="T153" s="1"/>
      <x:c r="U153" s="1"/>
      <x:c r="V153" s="1"/>
      <x:c r="W153" s="1"/>
      <x:c r="X153" s="1"/>
      <x:c r="Y153" s="1"/>
      <x:c r="Z153" s="1"/>
      <x:c r="AA153" s="1"/>
      <x:c r="AB153" s="1"/>
      <x:c r="AC153" s="1"/>
      <x:c r="AD153" s="1"/>
      <x:c r="AE153" s="1"/>
    </x:row>
    <x:row r="154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  <x:c r="L154" s="1"/>
      <x:c r="M154" s="1"/>
      <x:c r="N154" s="1"/>
      <x:c r="O154" s="1"/>
      <x:c r="P154" s="1"/>
      <x:c r="Q154" s="1"/>
      <x:c r="R154" s="1"/>
      <x:c r="S154" s="1"/>
      <x:c r="T154" s="1"/>
      <x:c r="U154" s="1"/>
      <x:c r="V154" s="1"/>
      <x:c r="W154" s="1"/>
      <x:c r="X154" s="1"/>
      <x:c r="Y154" s="1"/>
      <x:c r="Z154" s="1"/>
      <x:c r="AA154" s="1"/>
      <x:c r="AB154" s="1"/>
      <x:c r="AC154" s="1"/>
      <x:c r="AD154" s="1"/>
      <x:c r="AE154" s="1"/>
    </x:row>
    <x:row r="155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  <x:c r="L155" s="1"/>
      <x:c r="M155" s="1"/>
      <x:c r="N155" s="1"/>
      <x:c r="O155" s="1"/>
      <x:c r="P155" s="1"/>
      <x:c r="Q155" s="1"/>
      <x:c r="R155" s="1"/>
      <x:c r="S155" s="1"/>
      <x:c r="T155" s="1"/>
      <x:c r="U155" s="1"/>
      <x:c r="V155" s="1"/>
      <x:c r="W155" s="1"/>
      <x:c r="X155" s="1"/>
      <x:c r="Y155" s="1"/>
      <x:c r="Z155" s="1"/>
      <x:c r="AA155" s="1"/>
      <x:c r="AB155" s="1"/>
      <x:c r="AC155" s="1"/>
      <x:c r="AD155" s="1"/>
      <x:c r="AE155" s="1"/>
    </x:row>
    <x:row r="156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  <x:c r="L156" s="1"/>
      <x:c r="M156" s="1"/>
      <x:c r="N156" s="1"/>
      <x:c r="O156" s="1"/>
      <x:c r="P156" s="1"/>
      <x:c r="Q156" s="1"/>
      <x:c r="R156" s="1"/>
      <x:c r="S156" s="1"/>
      <x:c r="T156" s="1"/>
      <x:c r="U156" s="1"/>
      <x:c r="V156" s="1"/>
      <x:c r="W156" s="1"/>
      <x:c r="X156" s="1"/>
      <x:c r="Y156" s="1"/>
      <x:c r="Z156" s="1"/>
      <x:c r="AA156" s="1"/>
      <x:c r="AB156" s="1"/>
      <x:c r="AC156" s="1"/>
      <x:c r="AD156" s="1"/>
      <x:c r="AE156" s="1"/>
    </x:row>
    <x:row r="157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  <x:c r="L157" s="1"/>
      <x:c r="M157" s="1"/>
      <x:c r="N157" s="1"/>
      <x:c r="O157" s="1"/>
      <x:c r="P157" s="1"/>
      <x:c r="Q157" s="1"/>
      <x:c r="R157" s="1"/>
      <x:c r="S157" s="1"/>
      <x:c r="T157" s="1"/>
      <x:c r="U157" s="1"/>
      <x:c r="V157" s="1"/>
      <x:c r="W157" s="1"/>
      <x:c r="X157" s="1"/>
      <x:c r="Y157" s="1"/>
      <x:c r="Z157" s="1"/>
      <x:c r="AA157" s="1"/>
      <x:c r="AB157" s="1"/>
      <x:c r="AC157" s="1"/>
      <x:c r="AD157" s="1"/>
      <x:c r="AE157" s="1"/>
    </x:row>
    <x:row r="158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  <x:c r="L158" s="1"/>
      <x:c r="M158" s="1"/>
      <x:c r="N158" s="1"/>
      <x:c r="O158" s="1"/>
      <x:c r="P158" s="1"/>
      <x:c r="Q158" s="1"/>
      <x:c r="R158" s="1"/>
      <x:c r="S158" s="1"/>
      <x:c r="T158" s="1"/>
      <x:c r="U158" s="1"/>
      <x:c r="V158" s="1"/>
      <x:c r="W158" s="1"/>
      <x:c r="X158" s="1"/>
      <x:c r="Y158" s="1"/>
      <x:c r="Z158" s="1"/>
      <x:c r="AA158" s="1"/>
      <x:c r="AB158" s="1"/>
      <x:c r="AC158" s="1"/>
      <x:c r="AD158" s="1"/>
      <x:c r="AE158" s="1"/>
    </x:row>
    <x:row r="159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  <x:c r="L159" s="1"/>
      <x:c r="M159" s="1"/>
      <x:c r="N159" s="1"/>
      <x:c r="O159" s="1"/>
      <x:c r="P159" s="1"/>
      <x:c r="Q159" s="1"/>
      <x:c r="R159" s="1"/>
      <x:c r="S159" s="1"/>
      <x:c r="T159" s="1"/>
      <x:c r="U159" s="1"/>
      <x:c r="V159" s="1"/>
      <x:c r="W159" s="1"/>
      <x:c r="X159" s="1"/>
      <x:c r="Y159" s="1"/>
      <x:c r="Z159" s="1"/>
      <x:c r="AA159" s="1"/>
      <x:c r="AB159" s="1"/>
      <x:c r="AC159" s="1"/>
      <x:c r="AD159" s="1"/>
      <x:c r="AE159" s="1"/>
    </x:row>
    <x:row r="160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  <x:c r="L160" s="1"/>
      <x:c r="M160" s="1"/>
      <x:c r="N160" s="1"/>
      <x:c r="O160" s="1"/>
      <x:c r="P160" s="1"/>
      <x:c r="Q160" s="1"/>
      <x:c r="R160" s="1"/>
      <x:c r="S160" s="1"/>
      <x:c r="T160" s="1"/>
      <x:c r="U160" s="1"/>
      <x:c r="V160" s="1"/>
      <x:c r="W160" s="1"/>
      <x:c r="X160" s="1"/>
      <x:c r="Y160" s="1"/>
      <x:c r="Z160" s="1"/>
      <x:c r="AA160" s="1"/>
      <x:c r="AB160" s="1"/>
      <x:c r="AC160" s="1"/>
      <x:c r="AD160" s="1"/>
      <x:c r="AE160" s="1"/>
    </x:row>
    <x:row r="161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  <x:c r="L161" s="1"/>
      <x:c r="M161" s="1"/>
      <x:c r="N161" s="1"/>
      <x:c r="O161" s="1"/>
      <x:c r="P161" s="1"/>
      <x:c r="Q161" s="1"/>
      <x:c r="R161" s="1"/>
      <x:c r="S161" s="1"/>
      <x:c r="T161" s="1"/>
      <x:c r="U161" s="1"/>
      <x:c r="V161" s="1"/>
      <x:c r="W161" s="1"/>
      <x:c r="X161" s="1"/>
      <x:c r="Y161" s="1"/>
      <x:c r="Z161" s="1"/>
      <x:c r="AA161" s="1"/>
      <x:c r="AB161" s="1"/>
      <x:c r="AC161" s="1"/>
      <x:c r="AD161" s="1"/>
      <x:c r="AE161" s="1"/>
    </x:row>
    <x:row r="162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  <x:c r="L162" s="1"/>
      <x:c r="M162" s="1"/>
      <x:c r="N162" s="1"/>
      <x:c r="O162" s="1"/>
      <x:c r="P162" s="1"/>
      <x:c r="Q162" s="1"/>
      <x:c r="R162" s="1"/>
      <x:c r="S162" s="1"/>
      <x:c r="T162" s="1"/>
      <x:c r="U162" s="1"/>
      <x:c r="V162" s="1"/>
      <x:c r="W162" s="1"/>
      <x:c r="X162" s="1"/>
      <x:c r="Y162" s="1"/>
      <x:c r="Z162" s="1"/>
      <x:c r="AA162" s="1"/>
      <x:c r="AB162" s="1"/>
      <x:c r="AC162" s="1"/>
      <x:c r="AD162" s="1"/>
      <x:c r="AE162" s="1"/>
    </x:row>
    <x:row r="163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  <x:c r="L163" s="1"/>
      <x:c r="M163" s="1"/>
      <x:c r="N163" s="1"/>
      <x:c r="O163" s="1"/>
      <x:c r="P163" s="1"/>
      <x:c r="Q163" s="1"/>
      <x:c r="R163" s="1"/>
      <x:c r="S163" s="1"/>
      <x:c r="T163" s="1"/>
      <x:c r="U163" s="1"/>
      <x:c r="V163" s="1"/>
      <x:c r="W163" s="1"/>
      <x:c r="X163" s="1"/>
      <x:c r="Y163" s="1"/>
      <x:c r="Z163" s="1"/>
      <x:c r="AA163" s="1"/>
      <x:c r="AB163" s="1"/>
      <x:c r="AC163" s="1"/>
      <x:c r="AD163" s="1"/>
      <x:c r="AE163" s="1"/>
    </x:row>
    <x:row r="164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  <x:c r="L164" s="1"/>
      <x:c r="M164" s="1"/>
      <x:c r="N164" s="1"/>
      <x:c r="O164" s="1"/>
      <x:c r="P164" s="1"/>
      <x:c r="Q164" s="1"/>
      <x:c r="R164" s="1"/>
      <x:c r="S164" s="1"/>
      <x:c r="T164" s="1"/>
      <x:c r="U164" s="1"/>
      <x:c r="V164" s="1"/>
      <x:c r="W164" s="1"/>
      <x:c r="X164" s="1"/>
      <x:c r="Y164" s="1"/>
      <x:c r="Z164" s="1"/>
      <x:c r="AA164" s="1"/>
      <x:c r="AB164" s="1"/>
      <x:c r="AC164" s="1"/>
      <x:c r="AD164" s="1"/>
      <x:c r="AE164" s="1"/>
    </x:row>
    <x:row r="165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  <x:c r="L165" s="1"/>
      <x:c r="M165" s="1"/>
      <x:c r="N165" s="1"/>
      <x:c r="O165" s="1"/>
      <x:c r="P165" s="1"/>
      <x:c r="Q165" s="1"/>
      <x:c r="R165" s="1"/>
      <x:c r="S165" s="1"/>
      <x:c r="T165" s="1"/>
      <x:c r="U165" s="1"/>
      <x:c r="V165" s="1"/>
      <x:c r="W165" s="1"/>
      <x:c r="X165" s="1"/>
      <x:c r="Y165" s="1"/>
      <x:c r="Z165" s="1"/>
      <x:c r="AA165" s="1"/>
      <x:c r="AB165" s="1"/>
      <x:c r="AC165" s="1"/>
      <x:c r="AD165" s="1"/>
      <x:c r="AE165" s="1"/>
    </x:row>
    <x:row r="166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  <x:c r="L166" s="1"/>
      <x:c r="M166" s="1"/>
      <x:c r="N166" s="1"/>
      <x:c r="O166" s="1"/>
      <x:c r="P166" s="1"/>
      <x:c r="Q166" s="1"/>
      <x:c r="R166" s="1"/>
      <x:c r="S166" s="1"/>
      <x:c r="T166" s="1"/>
      <x:c r="U166" s="1"/>
      <x:c r="V166" s="1"/>
      <x:c r="W166" s="1"/>
      <x:c r="X166" s="1"/>
      <x:c r="Y166" s="1"/>
      <x:c r="Z166" s="1"/>
      <x:c r="AA166" s="1"/>
      <x:c r="AB166" s="1"/>
      <x:c r="AC166" s="1"/>
      <x:c r="AD166" s="1"/>
      <x:c r="AE166" s="1"/>
    </x:row>
    <x:row r="167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  <x:c r="L167" s="1"/>
      <x:c r="M167" s="1"/>
      <x:c r="N167" s="1"/>
      <x:c r="O167" s="1"/>
      <x:c r="P167" s="1"/>
      <x:c r="Q167" s="1"/>
      <x:c r="R167" s="1"/>
      <x:c r="S167" s="1"/>
      <x:c r="T167" s="1"/>
      <x:c r="U167" s="1"/>
      <x:c r="V167" s="1"/>
      <x:c r="W167" s="1"/>
      <x:c r="X167" s="1"/>
      <x:c r="Y167" s="1"/>
      <x:c r="Z167" s="1"/>
      <x:c r="AA167" s="1"/>
      <x:c r="AB167" s="1"/>
      <x:c r="AC167" s="1"/>
      <x:c r="AD167" s="1"/>
      <x:c r="AE167" s="1"/>
    </x:row>
    <x:row r="168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  <x:c r="L168" s="1"/>
      <x:c r="M168" s="1"/>
      <x:c r="N168" s="1"/>
      <x:c r="O168" s="1"/>
      <x:c r="P168" s="1"/>
      <x:c r="Q168" s="1"/>
      <x:c r="R168" s="1"/>
      <x:c r="S168" s="1"/>
      <x:c r="T168" s="1"/>
      <x:c r="U168" s="1"/>
      <x:c r="V168" s="1"/>
      <x:c r="W168" s="1"/>
      <x:c r="X168" s="1"/>
      <x:c r="Y168" s="1"/>
      <x:c r="Z168" s="1"/>
      <x:c r="AA168" s="1"/>
      <x:c r="AB168" s="1"/>
      <x:c r="AC168" s="1"/>
      <x:c r="AD168" s="1"/>
      <x:c r="AE168" s="1"/>
    </x:row>
    <x:row r="169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  <x:c r="L169" s="1"/>
      <x:c r="M169" s="1"/>
      <x:c r="N169" s="1"/>
      <x:c r="O169" s="1"/>
      <x:c r="P169" s="1"/>
      <x:c r="Q169" s="1"/>
      <x:c r="R169" s="1"/>
      <x:c r="S169" s="1"/>
      <x:c r="T169" s="1"/>
      <x:c r="U169" s="1"/>
      <x:c r="V169" s="1"/>
      <x:c r="W169" s="1"/>
      <x:c r="X169" s="1"/>
      <x:c r="Y169" s="1"/>
      <x:c r="Z169" s="1"/>
      <x:c r="AA169" s="1"/>
      <x:c r="AB169" s="1"/>
      <x:c r="AC169" s="1"/>
      <x:c r="AD169" s="1"/>
      <x:c r="AE169" s="1"/>
    </x:row>
    <x:row r="170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  <x:c r="L170" s="1"/>
      <x:c r="M170" s="1"/>
      <x:c r="N170" s="1"/>
      <x:c r="O170" s="1"/>
      <x:c r="P170" s="1"/>
      <x:c r="Q170" s="1"/>
      <x:c r="R170" s="1"/>
      <x:c r="S170" s="1"/>
      <x:c r="T170" s="1"/>
      <x:c r="U170" s="1"/>
      <x:c r="V170" s="1"/>
      <x:c r="W170" s="1"/>
      <x:c r="X170" s="1"/>
      <x:c r="Y170" s="1"/>
      <x:c r="Z170" s="1"/>
      <x:c r="AA170" s="1"/>
      <x:c r="AB170" s="1"/>
      <x:c r="AC170" s="1"/>
      <x:c r="AD170" s="1"/>
      <x:c r="AE170" s="1"/>
    </x:row>
    <x:row r="17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  <x:c r="L171" s="1"/>
      <x:c r="M171" s="1"/>
      <x:c r="N171" s="1"/>
      <x:c r="O171" s="1"/>
      <x:c r="P171" s="1"/>
      <x:c r="Q171" s="1"/>
      <x:c r="R171" s="1"/>
      <x:c r="S171" s="1"/>
      <x:c r="T171" s="1"/>
      <x:c r="U171" s="1"/>
      <x:c r="V171" s="1"/>
      <x:c r="W171" s="1"/>
      <x:c r="X171" s="1"/>
      <x:c r="Y171" s="1"/>
      <x:c r="Z171" s="1"/>
      <x:c r="AA171" s="1"/>
      <x:c r="AB171" s="1"/>
      <x:c r="AC171" s="1"/>
      <x:c r="AD171" s="1"/>
      <x:c r="AE171" s="1"/>
    </x:row>
    <x:row r="172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  <x:c r="L172" s="1"/>
      <x:c r="M172" s="1"/>
      <x:c r="N172" s="1"/>
      <x:c r="O172" s="1"/>
      <x:c r="P172" s="1"/>
      <x:c r="Q172" s="1"/>
      <x:c r="R172" s="1"/>
      <x:c r="S172" s="1"/>
      <x:c r="T172" s="1"/>
      <x:c r="U172" s="1"/>
      <x:c r="V172" s="1"/>
      <x:c r="W172" s="1"/>
      <x:c r="X172" s="1"/>
      <x:c r="Y172" s="1"/>
      <x:c r="Z172" s="1"/>
      <x:c r="AA172" s="1"/>
      <x:c r="AB172" s="1"/>
      <x:c r="AC172" s="1"/>
      <x:c r="AD172" s="1"/>
      <x:c r="AE172" s="1"/>
    </x:row>
    <x:row r="173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  <x:c r="L173" s="1"/>
      <x:c r="M173" s="1"/>
      <x:c r="N173" s="1"/>
      <x:c r="O173" s="1"/>
      <x:c r="P173" s="1"/>
      <x:c r="Q173" s="1"/>
      <x:c r="R173" s="1"/>
      <x:c r="S173" s="1"/>
      <x:c r="T173" s="1"/>
      <x:c r="U173" s="1"/>
      <x:c r="V173" s="1"/>
      <x:c r="W173" s="1"/>
      <x:c r="X173" s="1"/>
      <x:c r="Y173" s="1"/>
      <x:c r="Z173" s="1"/>
      <x:c r="AA173" s="1"/>
      <x:c r="AB173" s="1"/>
      <x:c r="AC173" s="1"/>
      <x:c r="AD173" s="1"/>
      <x:c r="AE173" s="1"/>
    </x:row>
    <x:row r="174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  <x:c r="L174" s="1"/>
      <x:c r="M174" s="1"/>
      <x:c r="N174" s="1"/>
      <x:c r="O174" s="1"/>
      <x:c r="P174" s="1"/>
      <x:c r="Q174" s="1"/>
      <x:c r="R174" s="1"/>
      <x:c r="S174" s="1"/>
      <x:c r="T174" s="1"/>
      <x:c r="U174" s="1"/>
      <x:c r="V174" s="1"/>
      <x:c r="W174" s="1"/>
      <x:c r="X174" s="1"/>
      <x:c r="Y174" s="1"/>
      <x:c r="Z174" s="1"/>
      <x:c r="AA174" s="1"/>
      <x:c r="AB174" s="1"/>
      <x:c r="AC174" s="1"/>
      <x:c r="AD174" s="1"/>
      <x:c r="AE174" s="1"/>
    </x:row>
    <x:row r="175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  <x:c r="L175" s="1"/>
      <x:c r="M175" s="1"/>
      <x:c r="N175" s="1"/>
      <x:c r="O175" s="1"/>
      <x:c r="P175" s="1"/>
      <x:c r="Q175" s="1"/>
      <x:c r="R175" s="1"/>
      <x:c r="S175" s="1"/>
      <x:c r="T175" s="1"/>
      <x:c r="U175" s="1"/>
      <x:c r="V175" s="1"/>
      <x:c r="W175" s="1"/>
      <x:c r="X175" s="1"/>
      <x:c r="Y175" s="1"/>
      <x:c r="Z175" s="1"/>
      <x:c r="AA175" s="1"/>
      <x:c r="AB175" s="1"/>
      <x:c r="AC175" s="1"/>
      <x:c r="AD175" s="1"/>
      <x:c r="AE175" s="1"/>
    </x:row>
    <x:row r="176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  <x:c r="L176" s="1"/>
      <x:c r="M176" s="1"/>
      <x:c r="N176" s="1"/>
      <x:c r="O176" s="1"/>
      <x:c r="P176" s="1"/>
      <x:c r="Q176" s="1"/>
      <x:c r="R176" s="1"/>
      <x:c r="S176" s="1"/>
      <x:c r="T176" s="1"/>
      <x:c r="U176" s="1"/>
      <x:c r="V176" s="1"/>
      <x:c r="W176" s="1"/>
      <x:c r="X176" s="1"/>
      <x:c r="Y176" s="1"/>
      <x:c r="Z176" s="1"/>
      <x:c r="AA176" s="1"/>
      <x:c r="AB176" s="1"/>
      <x:c r="AC176" s="1"/>
      <x:c r="AD176" s="1"/>
      <x:c r="AE176" s="1"/>
    </x:row>
    <x:row r="177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  <x:c r="L177" s="1"/>
      <x:c r="M177" s="1"/>
      <x:c r="N177" s="1"/>
      <x:c r="O177" s="1"/>
      <x:c r="P177" s="1"/>
      <x:c r="Q177" s="1"/>
      <x:c r="R177" s="1"/>
      <x:c r="S177" s="1"/>
      <x:c r="T177" s="1"/>
      <x:c r="U177" s="1"/>
      <x:c r="V177" s="1"/>
      <x:c r="W177" s="1"/>
      <x:c r="X177" s="1"/>
      <x:c r="Y177" s="1"/>
      <x:c r="Z177" s="1"/>
      <x:c r="AA177" s="1"/>
      <x:c r="AB177" s="1"/>
      <x:c r="AC177" s="1"/>
      <x:c r="AD177" s="1"/>
      <x:c r="AE177" s="1"/>
    </x:row>
    <x:row r="178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  <x:c r="L178" s="1"/>
      <x:c r="M178" s="1"/>
      <x:c r="N178" s="1"/>
      <x:c r="O178" s="1"/>
      <x:c r="P178" s="1"/>
      <x:c r="Q178" s="1"/>
      <x:c r="R178" s="1"/>
      <x:c r="S178" s="1"/>
      <x:c r="T178" s="1"/>
      <x:c r="U178" s="1"/>
      <x:c r="V178" s="1"/>
      <x:c r="W178" s="1"/>
      <x:c r="X178" s="1"/>
      <x:c r="Y178" s="1"/>
      <x:c r="Z178" s="1"/>
      <x:c r="AA178" s="1"/>
      <x:c r="AB178" s="1"/>
      <x:c r="AC178" s="1"/>
      <x:c r="AD178" s="1"/>
      <x:c r="AE178" s="1"/>
    </x:row>
    <x:row r="179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  <x:c r="L179" s="1"/>
      <x:c r="M179" s="1"/>
      <x:c r="N179" s="1"/>
      <x:c r="O179" s="1"/>
      <x:c r="P179" s="1"/>
      <x:c r="Q179" s="1"/>
      <x:c r="R179" s="1"/>
      <x:c r="S179" s="1"/>
      <x:c r="T179" s="1"/>
      <x:c r="U179" s="1"/>
      <x:c r="V179" s="1"/>
      <x:c r="W179" s="1"/>
      <x:c r="X179" s="1"/>
      <x:c r="Y179" s="1"/>
      <x:c r="Z179" s="1"/>
      <x:c r="AA179" s="1"/>
      <x:c r="AB179" s="1"/>
      <x:c r="AC179" s="1"/>
      <x:c r="AD179" s="1"/>
      <x:c r="AE179" s="1"/>
    </x:row>
    <x:row r="180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  <x:c r="L180" s="1"/>
      <x:c r="M180" s="1"/>
      <x:c r="N180" s="1"/>
      <x:c r="O180" s="1"/>
      <x:c r="P180" s="1"/>
      <x:c r="Q180" s="1"/>
      <x:c r="R180" s="1"/>
      <x:c r="S180" s="1"/>
      <x:c r="T180" s="1"/>
      <x:c r="U180" s="1"/>
      <x:c r="V180" s="1"/>
      <x:c r="W180" s="1"/>
      <x:c r="X180" s="1"/>
      <x:c r="Y180" s="1"/>
      <x:c r="Z180" s="1"/>
      <x:c r="AA180" s="1"/>
      <x:c r="AB180" s="1"/>
      <x:c r="AC180" s="1"/>
      <x:c r="AD180" s="1"/>
      <x:c r="AE180" s="1"/>
    </x:row>
    <x:row r="181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  <x:c r="L181" s="1"/>
      <x:c r="M181" s="1"/>
      <x:c r="N181" s="1"/>
      <x:c r="O181" s="1"/>
      <x:c r="P181" s="1"/>
      <x:c r="Q181" s="1"/>
      <x:c r="R181" s="1"/>
      <x:c r="S181" s="1"/>
      <x:c r="T181" s="1"/>
      <x:c r="U181" s="1"/>
      <x:c r="V181" s="1"/>
      <x:c r="W181" s="1"/>
      <x:c r="X181" s="1"/>
      <x:c r="Y181" s="1"/>
      <x:c r="Z181" s="1"/>
      <x:c r="AA181" s="1"/>
      <x:c r="AB181" s="1"/>
      <x:c r="AC181" s="1"/>
      <x:c r="AD181" s="1"/>
      <x:c r="AE181" s="1"/>
    </x:row>
    <x:row r="182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  <x:c r="L182" s="1"/>
      <x:c r="M182" s="1"/>
      <x:c r="N182" s="1"/>
      <x:c r="O182" s="1"/>
      <x:c r="P182" s="1"/>
      <x:c r="Q182" s="1"/>
      <x:c r="R182" s="1"/>
      <x:c r="S182" s="1"/>
      <x:c r="T182" s="1"/>
      <x:c r="U182" s="1"/>
      <x:c r="V182" s="1"/>
      <x:c r="W182" s="1"/>
      <x:c r="X182" s="1"/>
      <x:c r="Y182" s="1"/>
      <x:c r="Z182" s="1"/>
      <x:c r="AA182" s="1"/>
      <x:c r="AB182" s="1"/>
      <x:c r="AC182" s="1"/>
      <x:c r="AD182" s="1"/>
      <x:c r="AE182" s="1"/>
    </x:row>
    <x:row r="183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  <x:c r="L183" s="1"/>
      <x:c r="M183" s="1"/>
      <x:c r="N183" s="1"/>
      <x:c r="O183" s="1"/>
      <x:c r="P183" s="1"/>
      <x:c r="Q183" s="1"/>
      <x:c r="R183" s="1"/>
      <x:c r="S183" s="1"/>
      <x:c r="T183" s="1"/>
      <x:c r="U183" s="1"/>
      <x:c r="V183" s="1"/>
      <x:c r="W183" s="1"/>
      <x:c r="X183" s="1"/>
      <x:c r="Y183" s="1"/>
      <x:c r="Z183" s="1"/>
      <x:c r="AA183" s="1"/>
      <x:c r="AB183" s="1"/>
      <x:c r="AC183" s="1"/>
      <x:c r="AD183" s="1"/>
      <x:c r="AE183" s="1"/>
    </x:row>
    <x:row r="184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  <x:c r="L184" s="1"/>
      <x:c r="M184" s="1"/>
      <x:c r="N184" s="1"/>
      <x:c r="O184" s="1"/>
      <x:c r="P184" s="1"/>
      <x:c r="Q184" s="1"/>
      <x:c r="R184" s="1"/>
      <x:c r="S184" s="1"/>
      <x:c r="T184" s="1"/>
      <x:c r="U184" s="1"/>
      <x:c r="V184" s="1"/>
      <x:c r="W184" s="1"/>
      <x:c r="X184" s="1"/>
      <x:c r="Y184" s="1"/>
      <x:c r="Z184" s="1"/>
      <x:c r="AA184" s="1"/>
      <x:c r="AB184" s="1"/>
      <x:c r="AC184" s="1"/>
      <x:c r="AD184" s="1"/>
      <x:c r="AE184" s="1"/>
    </x:row>
    <x:row r="185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  <x:c r="L185" s="1"/>
      <x:c r="M185" s="1"/>
      <x:c r="N185" s="1"/>
      <x:c r="O185" s="1"/>
      <x:c r="P185" s="1"/>
      <x:c r="Q185" s="1"/>
      <x:c r="R185" s="1"/>
      <x:c r="S185" s="1"/>
      <x:c r="T185" s="1"/>
      <x:c r="U185" s="1"/>
      <x:c r="V185" s="1"/>
      <x:c r="W185" s="1"/>
      <x:c r="X185" s="1"/>
      <x:c r="Y185" s="1"/>
      <x:c r="Z185" s="1"/>
      <x:c r="AA185" s="1"/>
      <x:c r="AB185" s="1"/>
      <x:c r="AC185" s="1"/>
      <x:c r="AD185" s="1"/>
      <x:c r="AE185" s="1"/>
    </x:row>
    <x:row r="186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  <x:c r="L186" s="1"/>
      <x:c r="M186" s="1"/>
      <x:c r="N186" s="1"/>
      <x:c r="O186" s="1"/>
      <x:c r="P186" s="1"/>
      <x:c r="Q186" s="1"/>
      <x:c r="R186" s="1"/>
      <x:c r="S186" s="1"/>
      <x:c r="T186" s="1"/>
      <x:c r="U186" s="1"/>
      <x:c r="V186" s="1"/>
      <x:c r="W186" s="1"/>
      <x:c r="X186" s="1"/>
      <x:c r="Y186" s="1"/>
      <x:c r="Z186" s="1"/>
      <x:c r="AA186" s="1"/>
      <x:c r="AB186" s="1"/>
      <x:c r="AC186" s="1"/>
      <x:c r="AD186" s="1"/>
      <x:c r="AE186" s="1"/>
    </x:row>
    <x:row r="187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  <x:c r="L187" s="1"/>
      <x:c r="M187" s="1"/>
      <x:c r="N187" s="1"/>
      <x:c r="O187" s="1"/>
      <x:c r="P187" s="1"/>
      <x:c r="Q187" s="1"/>
      <x:c r="R187" s="1"/>
      <x:c r="S187" s="1"/>
      <x:c r="T187" s="1"/>
      <x:c r="U187" s="1"/>
      <x:c r="V187" s="1"/>
      <x:c r="W187" s="1"/>
      <x:c r="X187" s="1"/>
      <x:c r="Y187" s="1"/>
      <x:c r="Z187" s="1"/>
      <x:c r="AA187" s="1"/>
      <x:c r="AB187" s="1"/>
      <x:c r="AC187" s="1"/>
      <x:c r="AD187" s="1"/>
      <x:c r="AE187" s="1"/>
    </x:row>
    <x:row r="188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  <x:c r="L188" s="1"/>
      <x:c r="M188" s="1"/>
      <x:c r="N188" s="1"/>
      <x:c r="O188" s="1"/>
      <x:c r="P188" s="1"/>
      <x:c r="Q188" s="1"/>
      <x:c r="R188" s="1"/>
      <x:c r="S188" s="1"/>
      <x:c r="T188" s="1"/>
      <x:c r="U188" s="1"/>
      <x:c r="V188" s="1"/>
      <x:c r="W188" s="1"/>
      <x:c r="X188" s="1"/>
      <x:c r="Y188" s="1"/>
      <x:c r="Z188" s="1"/>
      <x:c r="AA188" s="1"/>
      <x:c r="AB188" s="1"/>
      <x:c r="AC188" s="1"/>
      <x:c r="AD188" s="1"/>
      <x:c r="AE188" s="1"/>
    </x:row>
    <x:row r="189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  <x:c r="L189" s="1"/>
      <x:c r="M189" s="1"/>
      <x:c r="N189" s="1"/>
      <x:c r="O189" s="1"/>
      <x:c r="P189" s="1"/>
      <x:c r="Q189" s="1"/>
      <x:c r="R189" s="1"/>
      <x:c r="S189" s="1"/>
      <x:c r="T189" s="1"/>
      <x:c r="U189" s="1"/>
      <x:c r="V189" s="1"/>
      <x:c r="W189" s="1"/>
      <x:c r="X189" s="1"/>
      <x:c r="Y189" s="1"/>
      <x:c r="Z189" s="1"/>
      <x:c r="AA189" s="1"/>
      <x:c r="AB189" s="1"/>
      <x:c r="AC189" s="1"/>
      <x:c r="AD189" s="1"/>
      <x:c r="AE189" s="1"/>
    </x:row>
    <x:row r="190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  <x:c r="L190" s="1"/>
      <x:c r="M190" s="1"/>
      <x:c r="N190" s="1"/>
      <x:c r="O190" s="1"/>
      <x:c r="P190" s="1"/>
      <x:c r="Q190" s="1"/>
      <x:c r="R190" s="1"/>
      <x:c r="S190" s="1"/>
      <x:c r="T190" s="1"/>
      <x:c r="U190" s="1"/>
      <x:c r="V190" s="1"/>
      <x:c r="W190" s="1"/>
      <x:c r="X190" s="1"/>
      <x:c r="Y190" s="1"/>
      <x:c r="Z190" s="1"/>
      <x:c r="AA190" s="1"/>
      <x:c r="AB190" s="1"/>
      <x:c r="AC190" s="1"/>
      <x:c r="AD190" s="1"/>
      <x:c r="AE190" s="1"/>
    </x:row>
    <x:row r="191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  <x:c r="L191" s="1"/>
      <x:c r="M191" s="1"/>
      <x:c r="N191" s="1"/>
      <x:c r="O191" s="1"/>
      <x:c r="P191" s="1"/>
      <x:c r="Q191" s="1"/>
      <x:c r="R191" s="1"/>
      <x:c r="S191" s="1"/>
      <x:c r="T191" s="1"/>
      <x:c r="U191" s="1"/>
      <x:c r="V191" s="1"/>
      <x:c r="W191" s="1"/>
      <x:c r="X191" s="1"/>
      <x:c r="Y191" s="1"/>
      <x:c r="Z191" s="1"/>
      <x:c r="AA191" s="1"/>
      <x:c r="AB191" s="1"/>
      <x:c r="AC191" s="1"/>
      <x:c r="AD191" s="1"/>
      <x:c r="AE191" s="1"/>
    </x:row>
    <x:row r="192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  <x:c r="L192" s="1"/>
      <x:c r="M192" s="1"/>
      <x:c r="N192" s="1"/>
      <x:c r="O192" s="1"/>
      <x:c r="P192" s="1"/>
      <x:c r="Q192" s="1"/>
      <x:c r="R192" s="1"/>
      <x:c r="S192" s="1"/>
      <x:c r="T192" s="1"/>
      <x:c r="U192" s="1"/>
      <x:c r="V192" s="1"/>
      <x:c r="W192" s="1"/>
      <x:c r="X192" s="1"/>
      <x:c r="Y192" s="1"/>
      <x:c r="Z192" s="1"/>
      <x:c r="AA192" s="1"/>
      <x:c r="AB192" s="1"/>
      <x:c r="AC192" s="1"/>
      <x:c r="AD192" s="1"/>
      <x:c r="AE192" s="1"/>
    </x:row>
    <x:row r="193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  <x:c r="L193" s="1"/>
      <x:c r="M193" s="1"/>
      <x:c r="N193" s="1"/>
      <x:c r="O193" s="1"/>
      <x:c r="P193" s="1"/>
      <x:c r="Q193" s="1"/>
      <x:c r="R193" s="1"/>
      <x:c r="S193" s="1"/>
      <x:c r="T193" s="1"/>
      <x:c r="U193" s="1"/>
      <x:c r="V193" s="1"/>
      <x:c r="W193" s="1"/>
      <x:c r="X193" s="1"/>
      <x:c r="Y193" s="1"/>
      <x:c r="Z193" s="1"/>
      <x:c r="AA193" s="1"/>
      <x:c r="AB193" s="1"/>
      <x:c r="AC193" s="1"/>
      <x:c r="AD193" s="1"/>
      <x:c r="AE193" s="1"/>
    </x:row>
    <x:row r="194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  <x:c r="L194" s="1"/>
      <x:c r="M194" s="1"/>
      <x:c r="N194" s="1"/>
      <x:c r="O194" s="1"/>
      <x:c r="P194" s="1"/>
      <x:c r="Q194" s="1"/>
      <x:c r="R194" s="1"/>
      <x:c r="S194" s="1"/>
      <x:c r="T194" s="1"/>
      <x:c r="U194" s="1"/>
      <x:c r="V194" s="1"/>
      <x:c r="W194" s="1"/>
      <x:c r="X194" s="1"/>
      <x:c r="Y194" s="1"/>
      <x:c r="Z194" s="1"/>
      <x:c r="AA194" s="1"/>
      <x:c r="AB194" s="1"/>
      <x:c r="AC194" s="1"/>
      <x:c r="AD194" s="1"/>
      <x:c r="AE194" s="1"/>
    </x:row>
    <x:row r="195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  <x:c r="L195" s="1"/>
      <x:c r="M195" s="1"/>
      <x:c r="N195" s="1"/>
      <x:c r="O195" s="1"/>
      <x:c r="P195" s="1"/>
      <x:c r="Q195" s="1"/>
      <x:c r="R195" s="1"/>
      <x:c r="S195" s="1"/>
      <x:c r="T195" s="1"/>
      <x:c r="U195" s="1"/>
      <x:c r="V195" s="1"/>
      <x:c r="W195" s="1"/>
      <x:c r="X195" s="1"/>
      <x:c r="Y195" s="1"/>
      <x:c r="Z195" s="1"/>
      <x:c r="AA195" s="1"/>
      <x:c r="AB195" s="1"/>
      <x:c r="AC195" s="1"/>
      <x:c r="AD195" s="1"/>
      <x:c r="AE195" s="1"/>
    </x:row>
    <x:row r="196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  <x:c r="L196" s="1"/>
      <x:c r="M196" s="1"/>
      <x:c r="N196" s="1"/>
      <x:c r="O196" s="1"/>
      <x:c r="P196" s="1"/>
      <x:c r="Q196" s="1"/>
      <x:c r="R196" s="1"/>
      <x:c r="S196" s="1"/>
      <x:c r="T196" s="1"/>
      <x:c r="U196" s="1"/>
      <x:c r="V196" s="1"/>
      <x:c r="W196" s="1"/>
      <x:c r="X196" s="1"/>
      <x:c r="Y196" s="1"/>
      <x:c r="Z196" s="1"/>
      <x:c r="AA196" s="1"/>
      <x:c r="AB196" s="1"/>
      <x:c r="AC196" s="1"/>
      <x:c r="AD196" s="1"/>
      <x:c r="AE196" s="1"/>
    </x:row>
    <x:row r="197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  <x:c r="L197" s="1"/>
      <x:c r="M197" s="1"/>
      <x:c r="N197" s="1"/>
      <x:c r="O197" s="1"/>
      <x:c r="P197" s="1"/>
      <x:c r="Q197" s="1"/>
      <x:c r="R197" s="1"/>
      <x:c r="S197" s="1"/>
      <x:c r="T197" s="1"/>
      <x:c r="U197" s="1"/>
      <x:c r="V197" s="1"/>
      <x:c r="W197" s="1"/>
      <x:c r="X197" s="1"/>
      <x:c r="Y197" s="1"/>
      <x:c r="Z197" s="1"/>
      <x:c r="AA197" s="1"/>
      <x:c r="AB197" s="1"/>
      <x:c r="AC197" s="1"/>
      <x:c r="AD197" s="1"/>
      <x:c r="AE197" s="1"/>
    </x:row>
    <x:row r="198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  <x:c r="L198" s="1"/>
      <x:c r="M198" s="1"/>
      <x:c r="N198" s="1"/>
      <x:c r="O198" s="1"/>
      <x:c r="P198" s="1"/>
      <x:c r="Q198" s="1"/>
      <x:c r="R198" s="1"/>
      <x:c r="S198" s="1"/>
      <x:c r="T198" s="1"/>
      <x:c r="U198" s="1"/>
      <x:c r="V198" s="1"/>
      <x:c r="W198" s="1"/>
      <x:c r="X198" s="1"/>
      <x:c r="Y198" s="1"/>
      <x:c r="Z198" s="1"/>
      <x:c r="AA198" s="1"/>
      <x:c r="AB198" s="1"/>
      <x:c r="AC198" s="1"/>
      <x:c r="AD198" s="1"/>
      <x:c r="AE198" s="1"/>
    </x:row>
    <x:row r="199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  <x:c r="L199" s="1"/>
      <x:c r="M199" s="1"/>
      <x:c r="N199" s="1"/>
      <x:c r="O199" s="1"/>
      <x:c r="P199" s="1"/>
      <x:c r="Q199" s="1"/>
      <x:c r="R199" s="1"/>
      <x:c r="S199" s="1"/>
      <x:c r="T199" s="1"/>
      <x:c r="U199" s="1"/>
      <x:c r="V199" s="1"/>
      <x:c r="W199" s="1"/>
      <x:c r="X199" s="1"/>
      <x:c r="Y199" s="1"/>
      <x:c r="Z199" s="1"/>
      <x:c r="AA199" s="1"/>
      <x:c r="AB199" s="1"/>
      <x:c r="AC199" s="1"/>
      <x:c r="AD199" s="1"/>
      <x:c r="AE199" s="1"/>
    </x:row>
    <x:row r="200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  <x:c r="L200" s="1"/>
      <x:c r="M200" s="1"/>
      <x:c r="N200" s="1"/>
      <x:c r="O200" s="1"/>
      <x:c r="P200" s="1"/>
      <x:c r="Q200" s="1"/>
      <x:c r="R200" s="1"/>
      <x:c r="S200" s="1"/>
      <x:c r="T200" s="1"/>
      <x:c r="U200" s="1"/>
      <x:c r="V200" s="1"/>
      <x:c r="W200" s="1"/>
      <x:c r="X200" s="1"/>
      <x:c r="Y200" s="1"/>
      <x:c r="Z200" s="1"/>
      <x:c r="AA200" s="1"/>
      <x:c r="AB200" s="1"/>
      <x:c r="AC200" s="1"/>
      <x:c r="AD200" s="1"/>
      <x:c r="AE200" s="1"/>
    </x:row>
    <x:row r="201">
      <x:c r="A201" s="1"/>
      <x:c r="B201" s="1"/>
      <x:c r="C201" s="1"/>
      <x:c r="D201" s="1"/>
      <x:c r="E201" s="1"/>
      <x:c r="F201" s="1"/>
      <x:c r="G201" s="1"/>
      <x:c r="H201" s="1"/>
      <x:c r="I201" s="1"/>
      <x:c r="J201" s="1"/>
      <x:c r="K201" s="1"/>
      <x:c r="L201" s="1"/>
      <x:c r="M201" s="1"/>
      <x:c r="N201" s="1"/>
      <x:c r="O201" s="1"/>
      <x:c r="P201" s="1"/>
      <x:c r="Q201" s="1"/>
      <x:c r="R201" s="1"/>
      <x:c r="S201" s="1"/>
      <x:c r="T201" s="1"/>
      <x:c r="U201" s="1"/>
      <x:c r="V201" s="1"/>
      <x:c r="W201" s="1"/>
      <x:c r="X201" s="1"/>
      <x:c r="Y201" s="1"/>
      <x:c r="Z201" s="1"/>
      <x:c r="AA201" s="1"/>
      <x:c r="AB201" s="1"/>
      <x:c r="AC201" s="1"/>
      <x:c r="AD201" s="1"/>
      <x:c r="AE201" s="1"/>
    </x:row>
    <x:row r="202">
      <x:c r="A202" s="1"/>
      <x:c r="B202" s="1"/>
      <x:c r="C202" s="1"/>
      <x:c r="D202" s="1"/>
      <x:c r="E202" s="1"/>
      <x:c r="F202" s="1"/>
      <x:c r="G202" s="1"/>
      <x:c r="H202" s="1"/>
      <x:c r="I202" s="1"/>
      <x:c r="J202" s="1"/>
      <x:c r="K202" s="1"/>
      <x:c r="L202" s="1"/>
      <x:c r="M202" s="1"/>
      <x:c r="N202" s="1"/>
      <x:c r="O202" s="1"/>
      <x:c r="P202" s="1"/>
      <x:c r="Q202" s="1"/>
      <x:c r="R202" s="1"/>
      <x:c r="S202" s="1"/>
      <x:c r="T202" s="1"/>
      <x:c r="U202" s="1"/>
      <x:c r="V202" s="1"/>
      <x:c r="W202" s="1"/>
      <x:c r="X202" s="1"/>
      <x:c r="Y202" s="1"/>
      <x:c r="Z202" s="1"/>
      <x:c r="AA202" s="1"/>
      <x:c r="AB202" s="1"/>
      <x:c r="AC202" s="1"/>
      <x:c r="AD202" s="1"/>
      <x:c r="AE202" s="1"/>
    </x:row>
    <x:row r="203">
      <x:c r="A203" s="1"/>
      <x:c r="B203" s="1"/>
      <x:c r="C203" s="1"/>
      <x:c r="D203" s="1"/>
      <x:c r="E203" s="1"/>
      <x:c r="F203" s="1"/>
      <x:c r="G203" s="1"/>
      <x:c r="H203" s="1"/>
      <x:c r="I203" s="1"/>
      <x:c r="J203" s="1"/>
      <x:c r="K203" s="1"/>
      <x:c r="L203" s="1"/>
      <x:c r="M203" s="1"/>
      <x:c r="N203" s="1"/>
      <x:c r="O203" s="1"/>
      <x:c r="P203" s="1"/>
      <x:c r="Q203" s="1"/>
      <x:c r="R203" s="1"/>
      <x:c r="S203" s="1"/>
      <x:c r="T203" s="1"/>
      <x:c r="U203" s="1"/>
      <x:c r="V203" s="1"/>
      <x:c r="W203" s="1"/>
      <x:c r="X203" s="1"/>
      <x:c r="Y203" s="1"/>
      <x:c r="Z203" s="1"/>
      <x:c r="AA203" s="1"/>
      <x:c r="AB203" s="1"/>
      <x:c r="AC203" s="1"/>
      <x:c r="AD203" s="1"/>
      <x:c r="AE203" s="1"/>
    </x:row>
    <x:row r="204">
      <x:c r="A204" s="1"/>
      <x:c r="B204" s="1"/>
      <x:c r="C204" s="1"/>
      <x:c r="D204" s="1"/>
      <x:c r="E204" s="1"/>
      <x:c r="F204" s="1"/>
      <x:c r="G204" s="1"/>
      <x:c r="H204" s="1"/>
      <x:c r="I204" s="1"/>
      <x:c r="J204" s="1"/>
      <x:c r="K204" s="1"/>
      <x:c r="L204" s="1"/>
      <x:c r="M204" s="1"/>
      <x:c r="N204" s="1"/>
      <x:c r="O204" s="1"/>
      <x:c r="P204" s="1"/>
      <x:c r="Q204" s="1"/>
      <x:c r="R204" s="1"/>
      <x:c r="S204" s="1"/>
      <x:c r="T204" s="1"/>
      <x:c r="U204" s="1"/>
      <x:c r="V204" s="1"/>
      <x:c r="W204" s="1"/>
      <x:c r="X204" s="1"/>
      <x:c r="Y204" s="1"/>
      <x:c r="Z204" s="1"/>
      <x:c r="AA204" s="1"/>
      <x:c r="AB204" s="1"/>
      <x:c r="AC204" s="1"/>
      <x:c r="AD204" s="1"/>
      <x:c r="AE204" s="1"/>
    </x:row>
  </x:sheetData>
  <x:mergeCells>
    <x:mergeCell ref="A1:O1"/>
    <x:mergeCell ref="C2:O2"/>
    <x:mergeCell ref="A4:C4"/>
    <x:mergeCell ref="A5:C7"/>
    <x:mergeCell ref="D4:F4"/>
    <x:mergeCell ref="D5:F7"/>
    <x:mergeCell ref="G4:I4"/>
    <x:mergeCell ref="G5:I7"/>
    <x:mergeCell ref="J4:L4"/>
    <x:mergeCell ref="J5:L7"/>
    <x:mergeCell ref="M4:O4"/>
    <x:mergeCell ref="M5:O7"/>
    <x:mergeCell ref="A9:C9"/>
    <x:mergeCell ref="A10:C12"/>
    <x:mergeCell ref="D9:F9"/>
    <x:mergeCell ref="D10:F12"/>
    <x:mergeCell ref="G9:I9"/>
    <x:mergeCell ref="G10:I12"/>
    <x:mergeCell ref="J9:L9"/>
    <x:mergeCell ref="J10:L12"/>
    <x:mergeCell ref="M9:O9"/>
    <x:mergeCell ref="M10:O12"/>
    <x:mergeCell ref="A14:F14"/>
    <x:mergeCell ref="H14:M14"/>
    <x:mergeCell ref="A19:F21"/>
    <x:mergeCell ref="H19:M21"/>
    <x:mergeCell ref="A24:O24"/>
    <x:mergeCell ref="A27:O2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" hidden="0" customWidth="1"/>
    <x:col min="2" max="2" width="12.5" hidden="0" customWidth="1"/>
    <x:col min="3" max="3" width="18.75" hidden="0" customWidth="1"/>
    <x:col min="4" max="4" width="8" hidden="0" customWidth="1"/>
    <x:col min="5" max="5" width="10.5" hidden="0" customWidth="1"/>
    <x:col min="6" max="6" width="13" hidden="0" customWidth="1"/>
    <x:col min="7" max="7" width="11.5" hidden="0" customWidth="1"/>
    <x:col min="8" max="8" width="11.5" hidden="0" customWidth="1"/>
    <x:col min="9" max="9" width="8" hidden="0" customWidth="1"/>
    <x:col min="10" max="10" width="13" hidden="0" customWidth="1"/>
    <x:col min="11" max="11" width="13" hidden="0" customWidth="1"/>
    <x:col min="12" max="12" width="13.75" hidden="0" customWidth="1"/>
    <x:col min="13" max="13" width="8" hidden="0" customWidth="1"/>
    <x:col min="14" max="14" width="10.5" hidden="0" customWidth="1"/>
  </x:cols>
  <x:sheetData>
    <x:row r="1" ht="34.5" customHeight="1">
      <x:c r="A1" s="4" t="str">
        <x:v>운영현황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  <x:c r="AA1" s="1"/>
      <x:c r="AB1" s="1"/>
      <x:c r="AC1" s="1"/>
      <x:c r="AD1" s="1"/>
      <x:c r="AE1" s="1"/>
    </x:row>
    <x:row r="2" ht="22.5" customHeight="1">
      <x:c r="A2" s="268" t="str">
        <x:v>현재 보유차량만 자동으로 올라옵니다. 한 대 한 줄에서 계약 만료와 미수 여부를 확인합니다.</x:v>
      </x:c>
      <x:c r="B2" s="268"/>
      <x:c r="C2" s="268"/>
      <x:c r="D2" s="268"/>
      <x:c r="E2" s="268"/>
      <x:c r="F2" s="268"/>
      <x:c r="G2" s="268"/>
      <x:c r="H2" s="268"/>
      <x:c r="I2" s="268"/>
      <x:c r="J2" s="268"/>
      <x:c r="K2" s="268"/>
      <x:c r="L2" s="268"/>
      <x:c r="M2" s="268"/>
      <x:c r="N2" s="268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  <x:c r="AA2" s="1"/>
      <x:c r="AB2" s="1"/>
      <x:c r="AC2" s="1"/>
      <x:c r="AD2" s="1"/>
      <x:c r="AE2" s="1"/>
    </x:row>
    <x:row r="3">
      <x:c r="A3" s="271" t="str">
        <x:v>운영 보유차량 · 자동 산출 / 수정하지 않음</x:v>
      </x:c>
      <x:c r="B3" s="271"/>
      <x:c r="C3" s="271"/>
      <x:c r="D3" s="271"/>
      <x:c r="E3" s="271"/>
      <x:c r="F3" s="271"/>
      <x:c r="G3" s="271"/>
      <x:c r="H3" s="271"/>
      <x:c r="I3" s="271"/>
      <x:c r="J3" s="271"/>
      <x:c r="K3" s="271"/>
      <x:c r="L3" s="271"/>
      <x:c r="M3" s="271"/>
      <x:c r="N3" s="27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  <x:c r="AA3" s="1"/>
      <x:c r="AB3" s="1"/>
      <x:c r="AC3" s="1"/>
      <x:c r="AD3" s="1"/>
      <x:c r="AE3" s="1"/>
    </x:row>
    <x:row r="4">
      <x:c r="A4" s="22" t="str">
        <x:v>번호</x:v>
      </x:c>
      <x:c r="B4" s="23" t="str">
        <x:v>차번</x:v>
      </x:c>
      <x:c r="C4" s="23" t="str">
        <x:v>차종</x:v>
      </x:c>
      <x:c r="D4" s="23" t="str">
        <x:v>소속</x:v>
      </x:c>
      <x:c r="E4" s="23" t="str">
        <x:v>상태</x:v>
      </x:c>
      <x:c r="F4" s="23" t="str">
        <x:v>고객명</x:v>
      </x:c>
      <x:c r="G4" s="23" t="str">
        <x:v>인도일</x:v>
      </x:c>
      <x:c r="H4" s="23" t="str">
        <x:v>종료일</x:v>
      </x:c>
      <x:c r="I4" s="23" t="str">
        <x:v>잔여</x:v>
      </x:c>
      <x:c r="J4" s="23" t="str">
        <x:v>대여료</x:v>
      </x:c>
      <x:c r="K4" s="23" t="str">
        <x:v>보증금</x:v>
      </x:c>
      <x:c r="L4" s="23" t="str">
        <x:v>미납잔액</x:v>
      </x:c>
      <x:c r="M4" s="23" t="str">
        <x:v>결제일</x:v>
      </x:c>
      <x:c r="N4" s="24" t="str">
        <x:v>영업자</x:v>
      </x:c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  <x:c r="AA4" s="1"/>
      <x:c r="AB4" s="1"/>
      <x:c r="AC4" s="1"/>
      <x:c r="AD4" s="1"/>
      <x:c r="AE4" s="1"/>
    </x:row>
    <x:row r="5" ht="18" customHeight="1">
      <x:c r="A5" s="272" t="n">
        <x:f>IF(B5="","",1)</x:f>
        <x:v>1</x:v>
      </x:c>
      <x:c r="B5" s="34" t="str">
        <x:f>IFERROR(INDEX('자산'!$B$5:$B$204,MATCH(1,'자산'!$Z$5:$Z$204,0)),"")</x:f>
        <x:v>231가4820</x:v>
      </x:c>
      <x:c r="C5" s="34" t="str">
        <x:f>IF($B5="","",IFERROR(INDEX('자산'!$C$5:$C$204,MATCH($B5,'자산'!$B$5:$B$204,0)),""))</x:f>
        <x:v>그랜저 IG</x:v>
      </x:c>
      <x:c r="D5" s="272" t="str">
        <x:f>IF($B5="","",IFERROR(INDEX('자산'!$D$5:$D$204,MATCH($B5,'자산'!$B$5:$B$204,0)),""))</x:f>
        <x:v>본사</x:v>
      </x:c>
      <x:c r="E5" s="272" t="str">
        <x:f>IF(B5="","",IF(IF($B5="","",IFERROR(INDEX('계약'!$G$5:$G$204,MATCH($B5,'계약'!$B$5:$B$204,0)),""))&lt;&gt;"","대여중","쉬는차"))</x:f>
        <x:v>대여중</x:v>
      </x:c>
      <x:c r="F5" s="34" t="str">
        <x:f>IF($B5="","",IFERROR(INDEX('계약'!$G$5:$G$204,MATCH($B5,'계약'!$B$5:$B$204,0)),""))</x:f>
        <x:v>김성호</x:v>
      </x:c>
      <x:c r="G5" s="275" t="n">
        <x:f>IF($B5="","",IFERROR(INDEX('계약'!$H$5:$H$204,MATCH($B5,'계약'!$B$5:$B$204,0)),""))</x:f>
        <x:v>45601</x:v>
      </x:c>
      <x:c r="H5" s="275" t="n">
        <x:f>IF($B5="","",IFERROR(INDEX('계약'!$I$5:$I$204,MATCH($B5,'계약'!$B$5:$B$204,0)),""))</x:f>
        <x:v>46330</x:v>
      </x:c>
      <x:c r="I5" s="34" t="n">
        <x:f>IF(H5="","",IF(H5&lt;'요약'!$B$2,"만료",(YEAR(H5)-YEAR('요약'!$B$2))*12+MONTH(H5)-MONTH('요약'!$B$2)))</x:f>
        <x:v>3</x:v>
      </x:c>
      <x:c r="J5" s="278" t="n">
        <x:f>IF($B5="","",IFERROR(INDEX('계약'!$K$5:$K$204,MATCH($B5,'계약'!$B$5:$B$204,0)),""))</x:f>
        <x:v>890000</x:v>
      </x:c>
      <x:c r="K5" s="278" t="n">
        <x:f>IF($B5="","",IFERROR(INDEX('계약'!$L$5:$L$204,MATCH($B5,'계약'!$B$5:$B$204,0)),""))</x:f>
        <x:v>3000000</x:v>
      </x:c>
      <x:c r="L5" s="278" t="n">
        <x:f>IF($B5="","",IFERROR(INDEX('수납'!$E$5:$E$204,MATCH($B5,'수납'!$B$5:$B$204,0)),0))</x:f>
        <x:v>0</x:v>
      </x:c>
      <x:c r="M5" s="34" t="str">
        <x:f>IF($B5="","",IFERROR(INDEX('수납'!$D$5:$D$204,MATCH($B5,'수납'!$B$5:$B$204,0)),0))</x:f>
        <x:v>05일</x:v>
      </x:c>
      <x:c r="N5" s="34" t="str">
        <x:f>IF($B5="","",IFERROR(INDEX('계약'!$M$5:$M$204,MATCH($B5,'계약'!$B$5:$B$204,0)),""))</x:f>
        <x:v>정우석</x:v>
      </x:c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  <x:c r="AA5" s="1"/>
      <x:c r="AB5" s="1"/>
      <x:c r="AC5" s="1"/>
      <x:c r="AD5" s="1"/>
      <x:c r="AE5" s="1"/>
    </x:row>
    <x:row r="6" ht="18" customHeight="1">
      <x:c r="A6" s="273" t="n">
        <x:f>IF(B6="","",2)</x:f>
        <x:v>2</x:v>
      </x:c>
      <x:c r="B6" s="35" t="str">
        <x:f>IFERROR(INDEX('자산'!$B$5:$B$204,MATCH(2,'자산'!$Z$5:$Z$204,0)),"")</x:f>
        <x:v>45나7719</x:v>
      </x:c>
      <x:c r="C6" s="35" t="str">
        <x:f>IF($B6="","",IFERROR(INDEX('자산'!$C$5:$C$204,MATCH($B6,'자산'!$B$5:$B$204,0)),""))</x:f>
        <x:v>카니발 하이리무진</x:v>
      </x:c>
      <x:c r="D6" s="273" t="str">
        <x:f>IF($B6="","",IFERROR(INDEX('자산'!$D$5:$D$204,MATCH($B6,'자산'!$B$5:$B$204,0)),""))</x:f>
        <x:v>본사</x:v>
      </x:c>
      <x:c r="E6" s="273" t="str">
        <x:f>IF(B6="","",IF(IF($B6="","",IFERROR(INDEX('계약'!$G$5:$G$204,MATCH($B6,'계약'!$B$5:$B$204,0)),""))&lt;&gt;"","대여중","쉬는차"))</x:f>
        <x:v>대여중</x:v>
      </x:c>
      <x:c r="F6" s="35" t="str">
        <x:f>IF($B6="","",IFERROR(INDEX('계약'!$G$5:$G$204,MATCH($B6,'계약'!$B$5:$B$204,0)),""))</x:f>
        <x:v>이재원</x:v>
      </x:c>
      <x:c r="G6" s="276" t="n">
        <x:f>IF($B6="","",IFERROR(INDEX('계약'!$H$5:$H$204,MATCH($B6,'계약'!$B$5:$B$204,0)),""))</x:f>
        <x:v>45734</x:v>
      </x:c>
      <x:c r="H6" s="276" t="n">
        <x:f>IF($B6="","",IFERROR(INDEX('계약'!$I$5:$I$204,MATCH($B6,'계약'!$B$5:$B$204,0)),""))</x:f>
        <x:v>46463</x:v>
      </x:c>
      <x:c r="I6" s="35" t="n">
        <x:f>IF(H6="","",IF(H6&lt;'요약'!$B$2,"만료",(YEAR(H6)-YEAR('요약'!$B$2))*12+MONTH(H6)-MONTH('요약'!$B$2)))</x:f>
        <x:v>7</x:v>
      </x:c>
      <x:c r="J6" s="279" t="n">
        <x:f>IF($B6="","",IFERROR(INDEX('계약'!$K$5:$K$204,MATCH($B6,'계약'!$B$5:$B$204,0)),""))</x:f>
        <x:v>1150000</x:v>
      </x:c>
      <x:c r="K6" s="279" t="n">
        <x:f>IF($B6="","",IFERROR(INDEX('계약'!$L$5:$L$204,MATCH($B6,'계약'!$B$5:$B$204,0)),""))</x:f>
        <x:v>5000000</x:v>
      </x:c>
      <x:c r="L6" s="279" t="n">
        <x:f>IF($B6="","",IFERROR(INDEX('수납'!$E$5:$E$204,MATCH($B6,'수납'!$B$5:$B$204,0)),0))</x:f>
        <x:v>2060000</x:v>
      </x:c>
      <x:c r="M6" s="35" t="str">
        <x:f>IF($B6="","",IFERROR(INDEX('수납'!$D$5:$D$204,MATCH($B6,'수납'!$B$5:$B$204,0)),0))</x:f>
        <x:v>10일</x:v>
      </x:c>
      <x:c r="N6" s="35" t="str">
        <x:f>IF($B6="","",IFERROR(INDEX('계약'!$M$5:$M$204,MATCH($B6,'계약'!$B$5:$B$204,0)),""))</x:f>
        <x:v>한지훈</x:v>
      </x:c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  <x:c r="AA6" s="1"/>
      <x:c r="AB6" s="1"/>
      <x:c r="AC6" s="1"/>
      <x:c r="AD6" s="1"/>
      <x:c r="AE6" s="1"/>
    </x:row>
    <x:row r="7" ht="18" customHeight="1">
      <x:c r="A7" s="273" t="n">
        <x:f>IF(B7="","",3)</x:f>
        <x:v>3</x:v>
      </x:c>
      <x:c r="B7" s="35" t="str">
        <x:f>IFERROR(INDEX('자산'!$B$5:$B$204,MATCH(3,'자산'!$Z$5:$Z$204,0)),"")</x:f>
        <x:v>03머0389</x:v>
      </x:c>
      <x:c r="C7" s="35" t="str">
        <x:f>IF($B7="","",IFERROR(INDEX('자산'!$C$5:$C$204,MATCH($B7,'자산'!$B$5:$B$204,0)),""))</x:f>
        <x:v>K5 DL3</x:v>
      </x:c>
      <x:c r="D7" s="273" t="str">
        <x:f>IF($B7="","",IFERROR(INDEX('자산'!$D$5:$D$204,MATCH($B7,'자산'!$B$5:$B$204,0)),""))</x:f>
        <x:v>본사</x:v>
      </x:c>
      <x:c r="E7" s="273" t="str">
        <x:f>IF(B7="","",IF(IF($B7="","",IFERROR(INDEX('계약'!$G$5:$G$204,MATCH($B7,'계약'!$B$5:$B$204,0)),""))&lt;&gt;"","대여중","쉬는차"))</x:f>
        <x:v>대여중</x:v>
      </x:c>
      <x:c r="F7" s="35" t="str">
        <x:f>IF($B7="","",IFERROR(INDEX('계약'!$G$5:$G$204,MATCH($B7,'계약'!$B$5:$B$204,0)),""))</x:f>
        <x:v>박민정</x:v>
      </x:c>
      <x:c r="G7" s="276" t="n">
        <x:f>IF($B7="","",IFERROR(INDEX('계약'!$H$5:$H$204,MATCH($B7,'계약'!$B$5:$B$204,0)),""))</x:f>
        <x:v>45809</x:v>
      </x:c>
      <x:c r="H7" s="276" t="n">
        <x:f>IF($B7="","",IFERROR(INDEX('계약'!$I$5:$I$204,MATCH($B7,'계약'!$B$5:$B$204,0)),""))</x:f>
        <x:v>46295</x:v>
      </x:c>
      <x:c r="I7" s="35" t="n">
        <x:f>IF(H7="","",IF(H7&lt;'요약'!$B$2,"만료",(YEAR(H7)-YEAR('요약'!$B$2))*12+MONTH(H7)-MONTH('요약'!$B$2)))</x:f>
        <x:v>1</x:v>
      </x:c>
      <x:c r="J7" s="279" t="n">
        <x:f>IF($B7="","",IFERROR(INDEX('계약'!$K$5:$K$204,MATCH($B7,'계약'!$B$5:$B$204,0)),""))</x:f>
        <x:v>1030000</x:v>
      </x:c>
      <x:c r="K7" s="279" t="n">
        <x:f>IF($B7="","",IFERROR(INDEX('계약'!$L$5:$L$204,MATCH($B7,'계약'!$B$5:$B$204,0)),""))</x:f>
        <x:v>2000000</x:v>
      </x:c>
      <x:c r="L7" s="279" t="n">
        <x:f>IF($B7="","",IFERROR(INDEX('수납'!$E$5:$E$204,MATCH($B7,'수납'!$B$5:$B$204,0)),0))</x:f>
        <x:v>2060000</x:v>
      </x:c>
      <x:c r="M7" s="35" t="str">
        <x:f>IF($B7="","",IFERROR(INDEX('수납'!$D$5:$D$204,MATCH($B7,'수납'!$B$5:$B$204,0)),0))</x:f>
        <x:v>25일</x:v>
      </x:c>
      <x:c r="N7" s="35" t="str">
        <x:f>IF($B7="","",IFERROR(INDEX('계약'!$M$5:$M$204,MATCH($B7,'계약'!$B$5:$B$204,0)),""))</x:f>
        <x:v>정우석</x:v>
      </x:c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  <x:c r="AA7" s="1"/>
      <x:c r="AB7" s="1"/>
      <x:c r="AC7" s="1"/>
      <x:c r="AD7" s="1"/>
      <x:c r="AE7" s="1"/>
    </x:row>
    <x:row r="8" ht="18" customHeight="1">
      <x:c r="A8" s="273" t="n">
        <x:f>IF(B8="","",4)</x:f>
        <x:v>4</x:v>
      </x:c>
      <x:c r="B8" s="35" t="str">
        <x:f>IFERROR(INDEX('자산'!$B$5:$B$204,MATCH(4,'자산'!$Z$5:$Z$204,0)),"")</x:f>
        <x:v>187허2264</x:v>
      </x:c>
      <x:c r="C8" s="35" t="str">
        <x:f>IF($B8="","",IFERROR(INDEX('자산'!$C$5:$C$204,MATCH($B8,'자산'!$B$5:$B$204,0)),""))</x:f>
        <x:v>셀토스</x:v>
      </x:c>
      <x:c r="D8" s="273" t="str">
        <x:f>IF($B8="","",IFERROR(INDEX('자산'!$D$5:$D$204,MATCH($B8,'자산'!$B$5:$B$204,0)),""))</x:f>
        <x:v>본사</x:v>
      </x:c>
      <x:c r="E8" s="273" t="str">
        <x:f>IF(B8="","",IF(IF($B8="","",IFERROR(INDEX('계약'!$G$5:$G$204,MATCH($B8,'계약'!$B$5:$B$204,0)),""))&lt;&gt;"","대여중","쉬는차"))</x:f>
        <x:v>쉬는차</x:v>
      </x:c>
      <x:c r="F8" s="35" t="str">
        <x:f>IF($B8="","",IFERROR(INDEX('계약'!$G$5:$G$204,MATCH($B8,'계약'!$B$5:$B$204,0)),""))</x:f>
      </x:c>
      <x:c r="G8" s="276" t="str">
        <x:f>IF($B8="","",IFERROR(INDEX('계약'!$H$5:$H$204,MATCH($B8,'계약'!$B$5:$B$204,0)),""))</x:f>
      </x:c>
      <x:c r="H8" s="276" t="str">
        <x:f>IF($B8="","",IFERROR(INDEX('계약'!$I$5:$I$204,MATCH($B8,'계약'!$B$5:$B$204,0)),""))</x:f>
      </x:c>
      <x:c r="I8" s="35" t="str">
        <x:f>IF(H8="","",IF(H8&lt;'요약'!$B$2,"만료",(YEAR(H8)-YEAR('요약'!$B$2))*12+MONTH(H8)-MONTH('요약'!$B$2)))</x:f>
      </x:c>
      <x:c r="J8" s="279" t="str">
        <x:f>IF($B8="","",IFERROR(INDEX('계약'!$K$5:$K$204,MATCH($B8,'계약'!$B$5:$B$204,0)),""))</x:f>
      </x:c>
      <x:c r="K8" s="279" t="str">
        <x:f>IF($B8="","",IFERROR(INDEX('계약'!$L$5:$L$204,MATCH($B8,'계약'!$B$5:$B$204,0)),""))</x:f>
      </x:c>
      <x:c r="L8" s="279" t="n">
        <x:f>IF($B8="","",IFERROR(INDEX('수납'!$E$5:$E$204,MATCH($B8,'수납'!$B$5:$B$204,0)),0))</x:f>
        <x:v>0</x:v>
      </x:c>
      <x:c r="M8" s="35" t="str">
        <x:f>IF($B8="","",IFERROR(INDEX('수납'!$D$5:$D$204,MATCH($B8,'수납'!$B$5:$B$204,0)),0))</x:f>
      </x:c>
      <x:c r="N8" s="35" t="str">
        <x:f>IF($B8="","",IFERROR(INDEX('계약'!$M$5:$M$204,MATCH($B8,'계약'!$B$5:$B$204,0)),""))</x:f>
      </x:c>
      <x:c r="O8" s="1"/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"/>
      <x:c r="AA8" s="1"/>
      <x:c r="AB8" s="1"/>
      <x:c r="AC8" s="1"/>
      <x:c r="AD8" s="1"/>
      <x:c r="AE8" s="1"/>
    </x:row>
    <x:row r="9" ht="18" customHeight="1">
      <x:c r="A9" s="273" t="n">
        <x:f>IF(B9="","",5)</x:f>
        <x:v>5</x:v>
      </x:c>
      <x:c r="B9" s="35" t="str">
        <x:f>IFERROR(INDEX('자산'!$B$5:$B$204,MATCH(5,'자산'!$Z$5:$Z$204,0)),"")</x:f>
        <x:v>92소5513</x:v>
      </x:c>
      <x:c r="C9" s="35" t="str">
        <x:f>IF($B9="","",IFERROR(INDEX('자산'!$C$5:$C$204,MATCH($B9,'자산'!$B$5:$B$204,0)),""))</x:f>
        <x:v>스타리아 라운지</x:v>
      </x:c>
      <x:c r="D9" s="273" t="str">
        <x:f>IF($B9="","",IFERROR(INDEX('자산'!$D$5:$D$204,MATCH($B9,'자산'!$B$5:$B$204,0)),""))</x:f>
        <x:v>본사</x:v>
      </x:c>
      <x:c r="E9" s="273" t="str">
        <x:f>IF(B9="","",IF(IF($B9="","",IFERROR(INDEX('계약'!$G$5:$G$204,MATCH($B9,'계약'!$B$5:$B$204,0)),""))&lt;&gt;"","대여중","쉬는차"))</x:f>
        <x:v>대여중</x:v>
      </x:c>
      <x:c r="F9" s="35" t="str">
        <x:f>IF($B9="","",IFERROR(INDEX('계약'!$G$5:$G$204,MATCH($B9,'계약'!$B$5:$B$204,0)),""))</x:f>
        <x:v>오세영</x:v>
      </x:c>
      <x:c r="G9" s="276" t="n">
        <x:f>IF($B9="","",IFERROR(INDEX('계약'!$H$5:$H$204,MATCH($B9,'계약'!$B$5:$B$204,0)),""))</x:f>
        <x:v>45922</x:v>
      </x:c>
      <x:c r="H9" s="276" t="n">
        <x:f>IF($B9="","",IFERROR(INDEX('계약'!$I$5:$I$204,MATCH($B9,'계약'!$B$5:$B$204,0)),""))</x:f>
        <x:v>46651</x:v>
      </x:c>
      <x:c r="I9" s="35" t="n">
        <x:f>IF(H9="","",IF(H9&lt;'요약'!$B$2,"만료",(YEAR(H9)-YEAR('요약'!$B$2))*12+MONTH(H9)-MONTH('요약'!$B$2)))</x:f>
        <x:v>13</x:v>
      </x:c>
      <x:c r="J9" s="279" t="n">
        <x:f>IF($B9="","",IFERROR(INDEX('계약'!$K$5:$K$204,MATCH($B9,'계약'!$B$5:$B$204,0)),""))</x:f>
        <x:v>1020000</x:v>
      </x:c>
      <x:c r="K9" s="279" t="n">
        <x:f>IF($B9="","",IFERROR(INDEX('계약'!$L$5:$L$204,MATCH($B9,'계약'!$B$5:$B$204,0)),""))</x:f>
        <x:v>4000000</x:v>
      </x:c>
      <x:c r="L9" s="279" t="n">
        <x:f>IF($B9="","",IFERROR(INDEX('수납'!$E$5:$E$204,MATCH($B9,'수납'!$B$5:$B$204,0)),0))</x:f>
        <x:v>0</x:v>
      </x:c>
      <x:c r="M9" s="35" t="str">
        <x:f>IF($B9="","",IFERROR(INDEX('수납'!$D$5:$D$204,MATCH($B9,'수납'!$B$5:$B$204,0)),0))</x:f>
        <x:v>05일</x:v>
      </x:c>
      <x:c r="N9" s="35" t="str">
        <x:f>IF($B9="","",IFERROR(INDEX('계약'!$M$5:$M$204,MATCH($B9,'계약'!$B$5:$B$204,0)),""))</x:f>
        <x:v>한지훈</x:v>
      </x:c>
      <x:c r="O9" s="1"/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"/>
      <x:c r="AA9" s="1"/>
      <x:c r="AB9" s="1"/>
      <x:c r="AC9" s="1"/>
      <x:c r="AD9" s="1"/>
      <x:c r="AE9" s="1"/>
    </x:row>
    <x:row r="10" ht="18" customHeight="1">
      <x:c r="A10" s="273" t="n">
        <x:f>IF(B10="","",6)</x:f>
        <x:v>6</x:v>
      </x:c>
      <x:c r="B10" s="35" t="str">
        <x:f>IFERROR(INDEX('자산'!$B$5:$B$204,MATCH(6,'자산'!$Z$5:$Z$204,0)),"")</x:f>
        <x:v>318수9047</x:v>
      </x:c>
      <x:c r="C10" s="35" t="str">
        <x:f>IF($B10="","",IFERROR(INDEX('자산'!$C$5:$C$204,MATCH($B10,'자산'!$B$5:$B$204,0)),""))</x:f>
        <x:v>아반떼 CN7</x:v>
      </x:c>
      <x:c r="D10" s="273" t="str">
        <x:f>IF($B10="","",IFERROR(INDEX('자산'!$D$5:$D$204,MATCH($B10,'자산'!$B$5:$B$204,0)),""))</x:f>
        <x:v>본사</x:v>
      </x:c>
      <x:c r="E10" s="273" t="str">
        <x:f>IF(B10="","",IF(IF($B10="","",IFERROR(INDEX('계약'!$G$5:$G$204,MATCH($B10,'계약'!$B$5:$B$204,0)),""))&lt;&gt;"","대여중","쉬는차"))</x:f>
        <x:v>대여중</x:v>
      </x:c>
      <x:c r="F10" s="35" t="str">
        <x:f>IF($B10="","",IFERROR(INDEX('계약'!$G$5:$G$204,MATCH($B10,'계약'!$B$5:$B$204,0)),""))</x:f>
        <x:v>장태윤</x:v>
      </x:c>
      <x:c r="G10" s="276" t="n">
        <x:f>IF($B10="","",IFERROR(INDEX('계약'!$H$5:$H$204,MATCH($B10,'계약'!$B$5:$B$204,0)),""))</x:f>
        <x:v>45503</x:v>
      </x:c>
      <x:c r="H10" s="276" t="n">
        <x:f>IF($B10="","",IFERROR(INDEX('계약'!$I$5:$I$204,MATCH($B10,'계약'!$B$5:$B$204,0)),""))</x:f>
        <x:v>46232</x:v>
      </x:c>
      <x:c r="I10" s="35" t="str">
        <x:f>IF(H10="","",IF(H10&lt;'요약'!$B$2,"만료",(YEAR(H10)-YEAR('요약'!$B$2))*12+MONTH(H10)-MONTH('요약'!$B$2)))</x:f>
        <x:v>만료</x:v>
      </x:c>
      <x:c r="J10" s="279" t="n">
        <x:f>IF($B10="","",IFERROR(INDEX('계약'!$K$5:$K$204,MATCH($B10,'계약'!$B$5:$B$204,0)),""))</x:f>
        <x:v>560000</x:v>
      </x:c>
      <x:c r="K10" s="279" t="n">
        <x:f>IF($B10="","",IFERROR(INDEX('계약'!$L$5:$L$204,MATCH($B10,'계약'!$B$5:$B$204,0)),""))</x:f>
        <x:v>1500000</x:v>
      </x:c>
      <x:c r="L10" s="279" t="n">
        <x:f>IF($B10="","",IFERROR(INDEX('수납'!$E$5:$E$204,MATCH($B10,'수납'!$B$5:$B$204,0)),0))</x:f>
        <x:v>560000</x:v>
      </x:c>
      <x:c r="M10" s="35" t="str">
        <x:f>IF($B10="","",IFERROR(INDEX('수납'!$D$5:$D$204,MATCH($B10,'수납'!$B$5:$B$204,0)),0))</x:f>
        <x:v>10일</x:v>
      </x:c>
      <x:c r="N10" s="35" t="str">
        <x:f>IF($B10="","",IFERROR(INDEX('계약'!$M$5:$M$204,MATCH($B10,'계약'!$B$5:$B$204,0)),""))</x:f>
        <x:v>정우석</x:v>
      </x:c>
      <x:c r="O10" s="1"/>
      <x:c r="P10" s="1"/>
      <x:c r="Q10" s="1"/>
      <x:c r="R10" s="1"/>
      <x:c r="S10" s="1"/>
      <x:c r="T10" s="1"/>
      <x:c r="U10" s="1"/>
      <x:c r="V10" s="1"/>
      <x:c r="W10" s="1"/>
      <x:c r="X10" s="1"/>
      <x:c r="Y10" s="1"/>
      <x:c r="Z10" s="1"/>
      <x:c r="AA10" s="1"/>
      <x:c r="AB10" s="1"/>
      <x:c r="AC10" s="1"/>
      <x:c r="AD10" s="1"/>
      <x:c r="AE10" s="1"/>
    </x:row>
    <x:row r="11" ht="18" customHeight="1">
      <x:c r="A11" s="273" t="n">
        <x:f>IF(B11="","",7)</x:f>
        <x:v>7</x:v>
      </x:c>
      <x:c r="B11" s="35" t="str">
        <x:f>IFERROR(INDEX('자산'!$B$5:$B$204,MATCH(7,'자산'!$Z$5:$Z$204,0)),"")</x:f>
        <x:v>76조1188</x:v>
      </x:c>
      <x:c r="C11" s="35" t="str">
        <x:f>IF($B11="","",IFERROR(INDEX('자산'!$C$5:$C$204,MATCH($B11,'자산'!$B$5:$B$204,0)),""))</x:f>
        <x:v>쏘렌토 MQ4</x:v>
      </x:c>
      <x:c r="D11" s="273" t="str">
        <x:f>IF($B11="","",IFERROR(INDEX('자산'!$D$5:$D$204,MATCH($B11,'자산'!$B$5:$B$204,0)),""))</x:f>
        <x:v>본사</x:v>
      </x:c>
      <x:c r="E11" s="273" t="str">
        <x:f>IF(B11="","",IF(IF($B11="","",IFERROR(INDEX('계약'!$G$5:$G$204,MATCH($B11,'계약'!$B$5:$B$204,0)),""))&lt;&gt;"","대여중","쉬는차"))</x:f>
        <x:v>쉬는차</x:v>
      </x:c>
      <x:c r="F11" s="35" t="str">
        <x:f>IF($B11="","",IFERROR(INDEX('계약'!$G$5:$G$204,MATCH($B11,'계약'!$B$5:$B$204,0)),""))</x:f>
      </x:c>
      <x:c r="G11" s="276" t="str">
        <x:f>IF($B11="","",IFERROR(INDEX('계약'!$H$5:$H$204,MATCH($B11,'계약'!$B$5:$B$204,0)),""))</x:f>
      </x:c>
      <x:c r="H11" s="276" t="str">
        <x:f>IF($B11="","",IFERROR(INDEX('계약'!$I$5:$I$204,MATCH($B11,'계약'!$B$5:$B$204,0)),""))</x:f>
      </x:c>
      <x:c r="I11" s="35" t="str">
        <x:f>IF(H11="","",IF(H11&lt;'요약'!$B$2,"만료",(YEAR(H11)-YEAR('요약'!$B$2))*12+MONTH(H11)-MONTH('요약'!$B$2)))</x:f>
      </x:c>
      <x:c r="J11" s="279" t="str">
        <x:f>IF($B11="","",IFERROR(INDEX('계약'!$K$5:$K$204,MATCH($B11,'계약'!$B$5:$B$204,0)),""))</x:f>
      </x:c>
      <x:c r="K11" s="279" t="str">
        <x:f>IF($B11="","",IFERROR(INDEX('계약'!$L$5:$L$204,MATCH($B11,'계약'!$B$5:$B$204,0)),""))</x:f>
      </x:c>
      <x:c r="L11" s="279" t="n">
        <x:f>IF($B11="","",IFERROR(INDEX('수납'!$E$5:$E$204,MATCH($B11,'수납'!$B$5:$B$204,0)),0))</x:f>
        <x:v>0</x:v>
      </x:c>
      <x:c r="M11" s="35" t="str">
        <x:f>IF($B11="","",IFERROR(INDEX('수납'!$D$5:$D$204,MATCH($B11,'수납'!$B$5:$B$204,0)),0))</x:f>
      </x:c>
      <x:c r="N11" s="35" t="str">
        <x:f>IF($B11="","",IFERROR(INDEX('계약'!$M$5:$M$204,MATCH($B11,'계약'!$B$5:$B$204,0)),""))</x:f>
      </x:c>
      <x:c r="O11" s="1"/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"/>
      <x:c r="AA11" s="1"/>
      <x:c r="AB11" s="1"/>
      <x:c r="AC11" s="1"/>
      <x:c r="AD11" s="1"/>
      <x:c r="AE11" s="1"/>
    </x:row>
    <x:row r="12" ht="18" customHeight="1">
      <x:c r="A12" s="273" t="n">
        <x:f>IF(B12="","",8)</x:f>
        <x:v>8</x:v>
      </x:c>
      <x:c r="B12" s="35" t="str">
        <x:f>IFERROR(INDEX('자산'!$B$5:$B$204,MATCH(8,'자산'!$Z$5:$Z$204,0)),"")</x:f>
        <x:v>264라3396</x:v>
      </x:c>
      <x:c r="C12" s="35" t="str">
        <x:f>IF($B12="","",IFERROR(INDEX('자산'!$C$5:$C$204,MATCH($B12,'자산'!$B$5:$B$204,0)),""))</x:f>
        <x:v>팰리세이드</x:v>
      </x:c>
      <x:c r="D12" s="273" t="str">
        <x:f>IF($B12="","",IFERROR(INDEX('자산'!$D$5:$D$204,MATCH($B12,'자산'!$B$5:$B$204,0)),""))</x:f>
        <x:v>본사</x:v>
      </x:c>
      <x:c r="E12" s="273" t="str">
        <x:f>IF(B12="","",IF(IF($B12="","",IFERROR(INDEX('계약'!$G$5:$G$204,MATCH($B12,'계약'!$B$5:$B$204,0)),""))&lt;&gt;"","대여중","쉬는차"))</x:f>
        <x:v>대여중</x:v>
      </x:c>
      <x:c r="F12" s="35" t="str">
        <x:f>IF($B12="","",IFERROR(INDEX('계약'!$G$5:$G$204,MATCH($B12,'계약'!$B$5:$B$204,0)),""))</x:f>
        <x:v>윤도현</x:v>
      </x:c>
      <x:c r="G12" s="276" t="n">
        <x:f>IF($B12="","",IFERROR(INDEX('계약'!$H$5:$H$204,MATCH($B12,'계약'!$B$5:$B$204,0)),""))</x:f>
        <x:v>46002</x:v>
      </x:c>
      <x:c r="H12" s="276" t="n">
        <x:f>IF($B12="","",IFERROR(INDEX('계약'!$I$5:$I$204,MATCH($B12,'계약'!$B$5:$B$204,0)),""))</x:f>
        <x:v>46731</x:v>
      </x:c>
      <x:c r="I12" s="35" t="n">
        <x:f>IF(H12="","",IF(H12&lt;'요약'!$B$2,"만료",(YEAR(H12)-YEAR('요약'!$B$2))*12+MONTH(H12)-MONTH('요약'!$B$2)))</x:f>
        <x:v>16</x:v>
      </x:c>
      <x:c r="J12" s="279" t="n">
        <x:f>IF($B12="","",IFERROR(INDEX('계약'!$K$5:$K$204,MATCH($B12,'계약'!$B$5:$B$204,0)),""))</x:f>
        <x:v>1280000</x:v>
      </x:c>
      <x:c r="K12" s="279" t="n">
        <x:f>IF($B12="","",IFERROR(INDEX('계약'!$L$5:$L$204,MATCH($B12,'계약'!$B$5:$B$204,0)),""))</x:f>
        <x:v>5000000</x:v>
      </x:c>
      <x:c r="L12" s="279" t="n">
        <x:f>IF($B12="","",IFERROR(INDEX('수납'!$E$5:$E$204,MATCH($B12,'수납'!$B$5:$B$204,0)),0))</x:f>
        <x:v>0</x:v>
      </x:c>
      <x:c r="M12" s="35" t="str">
        <x:f>IF($B12="","",IFERROR(INDEX('수납'!$D$5:$D$204,MATCH($B12,'수납'!$B$5:$B$204,0)),0))</x:f>
        <x:v>25일</x:v>
      </x:c>
      <x:c r="N12" s="35" t="str">
        <x:f>IF($B12="","",IFERROR(INDEX('계약'!$M$5:$M$204,MATCH($B12,'계약'!$B$5:$B$204,0)),""))</x:f>
        <x:v>한지훈</x:v>
      </x:c>
      <x:c r="O12" s="1"/>
      <x:c r="P12" s="1"/>
      <x:c r="Q12" s="1"/>
      <x:c r="R12" s="1"/>
      <x:c r="S12" s="1"/>
      <x:c r="T12" s="1"/>
      <x:c r="U12" s="1"/>
      <x:c r="V12" s="1"/>
      <x:c r="W12" s="1"/>
      <x:c r="X12" s="1"/>
      <x:c r="Y12" s="1"/>
      <x:c r="Z12" s="1"/>
      <x:c r="AA12" s="1"/>
      <x:c r="AB12" s="1"/>
      <x:c r="AC12" s="1"/>
      <x:c r="AD12" s="1"/>
      <x:c r="AE12" s="1"/>
    </x:row>
    <x:row r="13" ht="18" customHeight="1">
      <x:c r="A13" s="273" t="str">
        <x:f>IF(B13="","",9)</x:f>
      </x:c>
      <x:c r="B13" s="35" t="str">
        <x:f>IFERROR(INDEX('자산'!$B$5:$B$204,MATCH(9,'자산'!$Z$5:$Z$204,0)),"")</x:f>
      </x:c>
      <x:c r="C13" s="35" t="str">
        <x:f>IF($B13="","",IFERROR(INDEX('자산'!$C$5:$C$204,MATCH($B13,'자산'!$B$5:$B$204,0)),""))</x:f>
      </x:c>
      <x:c r="D13" s="273" t="str">
        <x:f>IF($B13="","",IFERROR(INDEX('자산'!$D$5:$D$204,MATCH($B13,'자산'!$B$5:$B$204,0)),""))</x:f>
      </x:c>
      <x:c r="E13" s="273" t="str">
        <x:f>IF(B13="","",IF(IF($B13="","",IFERROR(INDEX('계약'!$G$5:$G$204,MATCH($B13,'계약'!$B$5:$B$204,0)),""))&lt;&gt;"","대여중","쉬는차"))</x:f>
      </x:c>
      <x:c r="F13" s="35" t="str">
        <x:f>IF($B13="","",IFERROR(INDEX('계약'!$G$5:$G$204,MATCH($B13,'계약'!$B$5:$B$204,0)),""))</x:f>
      </x:c>
      <x:c r="G13" s="276" t="str">
        <x:f>IF($B13="","",IFERROR(INDEX('계약'!$H$5:$H$204,MATCH($B13,'계약'!$B$5:$B$204,0)),""))</x:f>
      </x:c>
      <x:c r="H13" s="276" t="str">
        <x:f>IF($B13="","",IFERROR(INDEX('계약'!$I$5:$I$204,MATCH($B13,'계약'!$B$5:$B$204,0)),""))</x:f>
      </x:c>
      <x:c r="I13" s="35" t="str">
        <x:f>IF(H13="","",IF(H13&lt;'요약'!$B$2,"만료",(YEAR(H13)-YEAR('요약'!$B$2))*12+MONTH(H13)-MONTH('요약'!$B$2)))</x:f>
      </x:c>
      <x:c r="J13" s="279" t="str">
        <x:f>IF($B13="","",IFERROR(INDEX('계약'!$K$5:$K$204,MATCH($B13,'계약'!$B$5:$B$204,0)),""))</x:f>
      </x:c>
      <x:c r="K13" s="279" t="str">
        <x:f>IF($B13="","",IFERROR(INDEX('계약'!$L$5:$L$204,MATCH($B13,'계약'!$B$5:$B$204,0)),""))</x:f>
      </x:c>
      <x:c r="L13" s="279" t="str">
        <x:f>IF($B13="","",IFERROR(INDEX('수납'!$E$5:$E$204,MATCH($B13,'수납'!$B$5:$B$204,0)),0))</x:f>
      </x:c>
      <x:c r="M13" s="35" t="str">
        <x:f>IF($B13="","",IFERROR(INDEX('수납'!$D$5:$D$204,MATCH($B13,'수납'!$B$5:$B$204,0)),0))</x:f>
      </x:c>
      <x:c r="N13" s="35" t="str">
        <x:f>IF($B13="","",IFERROR(INDEX('계약'!$M$5:$M$204,MATCH($B13,'계약'!$B$5:$B$204,0)),""))</x:f>
      </x:c>
      <x:c r="O13" s="1"/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"/>
      <x:c r="AA13" s="1"/>
      <x:c r="AB13" s="1"/>
      <x:c r="AC13" s="1"/>
      <x:c r="AD13" s="1"/>
      <x:c r="AE13" s="1"/>
    </x:row>
    <x:row r="14" ht="18" customHeight="1">
      <x:c r="A14" s="273" t="str">
        <x:f>IF(B14="","",10)</x:f>
      </x:c>
      <x:c r="B14" s="35" t="str">
        <x:f>IFERROR(INDEX('자산'!$B$5:$B$204,MATCH(10,'자산'!$Z$5:$Z$204,0)),"")</x:f>
      </x:c>
      <x:c r="C14" s="35" t="str">
        <x:f>IF($B14="","",IFERROR(INDEX('자산'!$C$5:$C$204,MATCH($B14,'자산'!$B$5:$B$204,0)),""))</x:f>
      </x:c>
      <x:c r="D14" s="273" t="str">
        <x:f>IF($B14="","",IFERROR(INDEX('자산'!$D$5:$D$204,MATCH($B14,'자산'!$B$5:$B$204,0)),""))</x:f>
      </x:c>
      <x:c r="E14" s="273" t="str">
        <x:f>IF(B14="","",IF(IF($B14="","",IFERROR(INDEX('계약'!$G$5:$G$204,MATCH($B14,'계약'!$B$5:$B$204,0)),""))&lt;&gt;"","대여중","쉬는차"))</x:f>
      </x:c>
      <x:c r="F14" s="35" t="str">
        <x:f>IF($B14="","",IFERROR(INDEX('계약'!$G$5:$G$204,MATCH($B14,'계약'!$B$5:$B$204,0)),""))</x:f>
      </x:c>
      <x:c r="G14" s="276" t="str">
        <x:f>IF($B14="","",IFERROR(INDEX('계약'!$H$5:$H$204,MATCH($B14,'계약'!$B$5:$B$204,0)),""))</x:f>
      </x:c>
      <x:c r="H14" s="276" t="str">
        <x:f>IF($B14="","",IFERROR(INDEX('계약'!$I$5:$I$204,MATCH($B14,'계약'!$B$5:$B$204,0)),""))</x:f>
      </x:c>
      <x:c r="I14" s="35" t="str">
        <x:f>IF(H14="","",IF(H14&lt;'요약'!$B$2,"만료",(YEAR(H14)-YEAR('요약'!$B$2))*12+MONTH(H14)-MONTH('요약'!$B$2)))</x:f>
      </x:c>
      <x:c r="J14" s="279" t="str">
        <x:f>IF($B14="","",IFERROR(INDEX('계약'!$K$5:$K$204,MATCH($B14,'계약'!$B$5:$B$204,0)),""))</x:f>
      </x:c>
      <x:c r="K14" s="279" t="str">
        <x:f>IF($B14="","",IFERROR(INDEX('계약'!$L$5:$L$204,MATCH($B14,'계약'!$B$5:$B$204,0)),""))</x:f>
      </x:c>
      <x:c r="L14" s="279" t="str">
        <x:f>IF($B14="","",IFERROR(INDEX('수납'!$E$5:$E$204,MATCH($B14,'수납'!$B$5:$B$204,0)),0))</x:f>
      </x:c>
      <x:c r="M14" s="35" t="str">
        <x:f>IF($B14="","",IFERROR(INDEX('수납'!$D$5:$D$204,MATCH($B14,'수납'!$B$5:$B$204,0)),0))</x:f>
      </x:c>
      <x:c r="N14" s="35" t="str">
        <x:f>IF($B14="","",IFERROR(INDEX('계약'!$M$5:$M$204,MATCH($B14,'계약'!$B$5:$B$204,0)),""))</x:f>
      </x:c>
      <x:c r="O14" s="1"/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1"/>
      <x:c r="AA14" s="1"/>
      <x:c r="AB14" s="1"/>
      <x:c r="AC14" s="1"/>
      <x:c r="AD14" s="1"/>
      <x:c r="AE14" s="1"/>
    </x:row>
    <x:row r="15" ht="18" customHeight="1">
      <x:c r="A15" s="273" t="str">
        <x:f>IF(B15="","",11)</x:f>
      </x:c>
      <x:c r="B15" s="35" t="str">
        <x:f>IFERROR(INDEX('자산'!$B$5:$B$204,MATCH(11,'자산'!$Z$5:$Z$204,0)),"")</x:f>
      </x:c>
      <x:c r="C15" s="35" t="str">
        <x:f>IF($B15="","",IFERROR(INDEX('자산'!$C$5:$C$204,MATCH($B15,'자산'!$B$5:$B$204,0)),""))</x:f>
      </x:c>
      <x:c r="D15" s="273" t="str">
        <x:f>IF($B15="","",IFERROR(INDEX('자산'!$D$5:$D$204,MATCH($B15,'자산'!$B$5:$B$204,0)),""))</x:f>
      </x:c>
      <x:c r="E15" s="273" t="str">
        <x:f>IF(B15="","",IF(IF($B15="","",IFERROR(INDEX('계약'!$G$5:$G$204,MATCH($B15,'계약'!$B$5:$B$204,0)),""))&lt;&gt;"","대여중","쉬는차"))</x:f>
      </x:c>
      <x:c r="F15" s="35" t="str">
        <x:f>IF($B15="","",IFERROR(INDEX('계약'!$G$5:$G$204,MATCH($B15,'계약'!$B$5:$B$204,0)),""))</x:f>
      </x:c>
      <x:c r="G15" s="276" t="str">
        <x:f>IF($B15="","",IFERROR(INDEX('계약'!$H$5:$H$204,MATCH($B15,'계약'!$B$5:$B$204,0)),""))</x:f>
      </x:c>
      <x:c r="H15" s="276" t="str">
        <x:f>IF($B15="","",IFERROR(INDEX('계약'!$I$5:$I$204,MATCH($B15,'계약'!$B$5:$B$204,0)),""))</x:f>
      </x:c>
      <x:c r="I15" s="35" t="str">
        <x:f>IF(H15="","",IF(H15&lt;'요약'!$B$2,"만료",(YEAR(H15)-YEAR('요약'!$B$2))*12+MONTH(H15)-MONTH('요약'!$B$2)))</x:f>
      </x:c>
      <x:c r="J15" s="279" t="str">
        <x:f>IF($B15="","",IFERROR(INDEX('계약'!$K$5:$K$204,MATCH($B15,'계약'!$B$5:$B$204,0)),""))</x:f>
      </x:c>
      <x:c r="K15" s="279" t="str">
        <x:f>IF($B15="","",IFERROR(INDEX('계약'!$L$5:$L$204,MATCH($B15,'계약'!$B$5:$B$204,0)),""))</x:f>
      </x:c>
      <x:c r="L15" s="279" t="str">
        <x:f>IF($B15="","",IFERROR(INDEX('수납'!$E$5:$E$204,MATCH($B15,'수납'!$B$5:$B$204,0)),0))</x:f>
      </x:c>
      <x:c r="M15" s="35" t="str">
        <x:f>IF($B15="","",IFERROR(INDEX('수납'!$D$5:$D$204,MATCH($B15,'수납'!$B$5:$B$204,0)),0))</x:f>
      </x:c>
      <x:c r="N15" s="35" t="str">
        <x:f>IF($B15="","",IFERROR(INDEX('계약'!$M$5:$M$204,MATCH($B15,'계약'!$B$5:$B$204,0)),""))</x:f>
      </x:c>
      <x:c r="O15" s="1"/>
      <x:c r="P15" s="1"/>
      <x:c r="Q15" s="1"/>
      <x:c r="R15" s="1"/>
      <x:c r="S15" s="1"/>
      <x:c r="T15" s="1"/>
      <x:c r="U15" s="1"/>
      <x:c r="V15" s="1"/>
      <x:c r="W15" s="1"/>
      <x:c r="X15" s="1"/>
      <x:c r="Y15" s="1"/>
      <x:c r="Z15" s="1"/>
      <x:c r="AA15" s="1"/>
      <x:c r="AB15" s="1"/>
      <x:c r="AC15" s="1"/>
      <x:c r="AD15" s="1"/>
      <x:c r="AE15" s="1"/>
    </x:row>
    <x:row r="16" ht="18" customHeight="1">
      <x:c r="A16" s="273" t="str">
        <x:f>IF(B16="","",12)</x:f>
      </x:c>
      <x:c r="B16" s="35" t="str">
        <x:f>IFERROR(INDEX('자산'!$B$5:$B$204,MATCH(12,'자산'!$Z$5:$Z$204,0)),"")</x:f>
      </x:c>
      <x:c r="C16" s="35" t="str">
        <x:f>IF($B16="","",IFERROR(INDEX('자산'!$C$5:$C$204,MATCH($B16,'자산'!$B$5:$B$204,0)),""))</x:f>
      </x:c>
      <x:c r="D16" s="273" t="str">
        <x:f>IF($B16="","",IFERROR(INDEX('자산'!$D$5:$D$204,MATCH($B16,'자산'!$B$5:$B$204,0)),""))</x:f>
      </x:c>
      <x:c r="E16" s="273" t="str">
        <x:f>IF(B16="","",IF(IF($B16="","",IFERROR(INDEX('계약'!$G$5:$G$204,MATCH($B16,'계약'!$B$5:$B$204,0)),""))&lt;&gt;"","대여중","쉬는차"))</x:f>
      </x:c>
      <x:c r="F16" s="35" t="str">
        <x:f>IF($B16="","",IFERROR(INDEX('계약'!$G$5:$G$204,MATCH($B16,'계약'!$B$5:$B$204,0)),""))</x:f>
      </x:c>
      <x:c r="G16" s="276" t="str">
        <x:f>IF($B16="","",IFERROR(INDEX('계약'!$H$5:$H$204,MATCH($B16,'계약'!$B$5:$B$204,0)),""))</x:f>
      </x:c>
      <x:c r="H16" s="276" t="str">
        <x:f>IF($B16="","",IFERROR(INDEX('계약'!$I$5:$I$204,MATCH($B16,'계약'!$B$5:$B$204,0)),""))</x:f>
      </x:c>
      <x:c r="I16" s="35" t="str">
        <x:f>IF(H16="","",IF(H16&lt;'요약'!$B$2,"만료",(YEAR(H16)-YEAR('요약'!$B$2))*12+MONTH(H16)-MONTH('요약'!$B$2)))</x:f>
      </x:c>
      <x:c r="J16" s="279" t="str">
        <x:f>IF($B16="","",IFERROR(INDEX('계약'!$K$5:$K$204,MATCH($B16,'계약'!$B$5:$B$204,0)),""))</x:f>
      </x:c>
      <x:c r="K16" s="279" t="str">
        <x:f>IF($B16="","",IFERROR(INDEX('계약'!$L$5:$L$204,MATCH($B16,'계약'!$B$5:$B$204,0)),""))</x:f>
      </x:c>
      <x:c r="L16" s="279" t="str">
        <x:f>IF($B16="","",IFERROR(INDEX('수납'!$E$5:$E$204,MATCH($B16,'수납'!$B$5:$B$204,0)),0))</x:f>
      </x:c>
      <x:c r="M16" s="35" t="str">
        <x:f>IF($B16="","",IFERROR(INDEX('수납'!$D$5:$D$204,MATCH($B16,'수납'!$B$5:$B$204,0)),0))</x:f>
      </x:c>
      <x:c r="N16" s="35" t="str">
        <x:f>IF($B16="","",IFERROR(INDEX('계약'!$M$5:$M$204,MATCH($B16,'계약'!$B$5:$B$204,0)),""))</x:f>
      </x:c>
      <x:c r="O16" s="1"/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"/>
      <x:c r="AA16" s="1"/>
      <x:c r="AB16" s="1"/>
      <x:c r="AC16" s="1"/>
      <x:c r="AD16" s="1"/>
      <x:c r="AE16" s="1"/>
    </x:row>
    <x:row r="17" ht="18" customHeight="1">
      <x:c r="A17" s="273" t="str">
        <x:f>IF(B17="","",13)</x:f>
      </x:c>
      <x:c r="B17" s="35" t="str">
        <x:f>IFERROR(INDEX('자산'!$B$5:$B$204,MATCH(13,'자산'!$Z$5:$Z$204,0)),"")</x:f>
      </x:c>
      <x:c r="C17" s="35" t="str">
        <x:f>IF($B17="","",IFERROR(INDEX('자산'!$C$5:$C$204,MATCH($B17,'자산'!$B$5:$B$204,0)),""))</x:f>
      </x:c>
      <x:c r="D17" s="273" t="str">
        <x:f>IF($B17="","",IFERROR(INDEX('자산'!$D$5:$D$204,MATCH($B17,'자산'!$B$5:$B$204,0)),""))</x:f>
      </x:c>
      <x:c r="E17" s="273" t="str">
        <x:f>IF(B17="","",IF(IF($B17="","",IFERROR(INDEX('계약'!$G$5:$G$204,MATCH($B17,'계약'!$B$5:$B$204,0)),""))&lt;&gt;"","대여중","쉬는차"))</x:f>
      </x:c>
      <x:c r="F17" s="35" t="str">
        <x:f>IF($B17="","",IFERROR(INDEX('계약'!$G$5:$G$204,MATCH($B17,'계약'!$B$5:$B$204,0)),""))</x:f>
      </x:c>
      <x:c r="G17" s="276" t="str">
        <x:f>IF($B17="","",IFERROR(INDEX('계약'!$H$5:$H$204,MATCH($B17,'계약'!$B$5:$B$204,0)),""))</x:f>
      </x:c>
      <x:c r="H17" s="276" t="str">
        <x:f>IF($B17="","",IFERROR(INDEX('계약'!$I$5:$I$204,MATCH($B17,'계약'!$B$5:$B$204,0)),""))</x:f>
      </x:c>
      <x:c r="I17" s="35" t="str">
        <x:f>IF(H17="","",IF(H17&lt;'요약'!$B$2,"만료",(YEAR(H17)-YEAR('요약'!$B$2))*12+MONTH(H17)-MONTH('요약'!$B$2)))</x:f>
      </x:c>
      <x:c r="J17" s="279" t="str">
        <x:f>IF($B17="","",IFERROR(INDEX('계약'!$K$5:$K$204,MATCH($B17,'계약'!$B$5:$B$204,0)),""))</x:f>
      </x:c>
      <x:c r="K17" s="279" t="str">
        <x:f>IF($B17="","",IFERROR(INDEX('계약'!$L$5:$L$204,MATCH($B17,'계약'!$B$5:$B$204,0)),""))</x:f>
      </x:c>
      <x:c r="L17" s="279" t="str">
        <x:f>IF($B17="","",IFERROR(INDEX('수납'!$E$5:$E$204,MATCH($B17,'수납'!$B$5:$B$204,0)),0))</x:f>
      </x:c>
      <x:c r="M17" s="35" t="str">
        <x:f>IF($B17="","",IFERROR(INDEX('수납'!$D$5:$D$204,MATCH($B17,'수납'!$B$5:$B$204,0)),0))</x:f>
      </x:c>
      <x:c r="N17" s="35" t="str">
        <x:f>IF($B17="","",IFERROR(INDEX('계약'!$M$5:$M$204,MATCH($B17,'계약'!$B$5:$B$204,0)),""))</x:f>
      </x:c>
      <x:c r="O17" s="1"/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"/>
      <x:c r="AA17" s="1"/>
      <x:c r="AB17" s="1"/>
      <x:c r="AC17" s="1"/>
      <x:c r="AD17" s="1"/>
      <x:c r="AE17" s="1"/>
    </x:row>
    <x:row r="18" ht="18" customHeight="1">
      <x:c r="A18" s="273" t="str">
        <x:f>IF(B18="","",14)</x:f>
      </x:c>
      <x:c r="B18" s="35" t="str">
        <x:f>IFERROR(INDEX('자산'!$B$5:$B$204,MATCH(14,'자산'!$Z$5:$Z$204,0)),"")</x:f>
      </x:c>
      <x:c r="C18" s="35" t="str">
        <x:f>IF($B18="","",IFERROR(INDEX('자산'!$C$5:$C$204,MATCH($B18,'자산'!$B$5:$B$204,0)),""))</x:f>
      </x:c>
      <x:c r="D18" s="273" t="str">
        <x:f>IF($B18="","",IFERROR(INDEX('자산'!$D$5:$D$204,MATCH($B18,'자산'!$B$5:$B$204,0)),""))</x:f>
      </x:c>
      <x:c r="E18" s="273" t="str">
        <x:f>IF(B18="","",IF(IF($B18="","",IFERROR(INDEX('계약'!$G$5:$G$204,MATCH($B18,'계약'!$B$5:$B$204,0)),""))&lt;&gt;"","대여중","쉬는차"))</x:f>
      </x:c>
      <x:c r="F18" s="35" t="str">
        <x:f>IF($B18="","",IFERROR(INDEX('계약'!$G$5:$G$204,MATCH($B18,'계약'!$B$5:$B$204,0)),""))</x:f>
      </x:c>
      <x:c r="G18" s="276" t="str">
        <x:f>IF($B18="","",IFERROR(INDEX('계약'!$H$5:$H$204,MATCH($B18,'계약'!$B$5:$B$204,0)),""))</x:f>
      </x:c>
      <x:c r="H18" s="276" t="str">
        <x:f>IF($B18="","",IFERROR(INDEX('계약'!$I$5:$I$204,MATCH($B18,'계약'!$B$5:$B$204,0)),""))</x:f>
      </x:c>
      <x:c r="I18" s="35" t="str">
        <x:f>IF(H18="","",IF(H18&lt;'요약'!$B$2,"만료",(YEAR(H18)-YEAR('요약'!$B$2))*12+MONTH(H18)-MONTH('요약'!$B$2)))</x:f>
      </x:c>
      <x:c r="J18" s="279" t="str">
        <x:f>IF($B18="","",IFERROR(INDEX('계약'!$K$5:$K$204,MATCH($B18,'계약'!$B$5:$B$204,0)),""))</x:f>
      </x:c>
      <x:c r="K18" s="279" t="str">
        <x:f>IF($B18="","",IFERROR(INDEX('계약'!$L$5:$L$204,MATCH($B18,'계약'!$B$5:$B$204,0)),""))</x:f>
      </x:c>
      <x:c r="L18" s="279" t="str">
        <x:f>IF($B18="","",IFERROR(INDEX('수납'!$E$5:$E$204,MATCH($B18,'수납'!$B$5:$B$204,0)),0))</x:f>
      </x:c>
      <x:c r="M18" s="35" t="str">
        <x:f>IF($B18="","",IFERROR(INDEX('수납'!$D$5:$D$204,MATCH($B18,'수납'!$B$5:$B$204,0)),0))</x:f>
      </x:c>
      <x:c r="N18" s="35" t="str">
        <x:f>IF($B18="","",IFERROR(INDEX('계약'!$M$5:$M$204,MATCH($B18,'계약'!$B$5:$B$204,0)),""))</x:f>
      </x:c>
      <x:c r="O18" s="1"/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"/>
      <x:c r="AA18" s="1"/>
      <x:c r="AB18" s="1"/>
      <x:c r="AC18" s="1"/>
      <x:c r="AD18" s="1"/>
      <x:c r="AE18" s="1"/>
    </x:row>
    <x:row r="19" ht="18" customHeight="1">
      <x:c r="A19" s="273" t="str">
        <x:f>IF(B19="","",15)</x:f>
      </x:c>
      <x:c r="B19" s="35" t="str">
        <x:f>IFERROR(INDEX('자산'!$B$5:$B$204,MATCH(15,'자산'!$Z$5:$Z$204,0)),"")</x:f>
      </x:c>
      <x:c r="C19" s="35" t="str">
        <x:f>IF($B19="","",IFERROR(INDEX('자산'!$C$5:$C$204,MATCH($B19,'자산'!$B$5:$B$204,0)),""))</x:f>
      </x:c>
      <x:c r="D19" s="273" t="str">
        <x:f>IF($B19="","",IFERROR(INDEX('자산'!$D$5:$D$204,MATCH($B19,'자산'!$B$5:$B$204,0)),""))</x:f>
      </x:c>
      <x:c r="E19" s="273" t="str">
        <x:f>IF(B19="","",IF(IF($B19="","",IFERROR(INDEX('계약'!$G$5:$G$204,MATCH($B19,'계약'!$B$5:$B$204,0)),""))&lt;&gt;"","대여중","쉬는차"))</x:f>
      </x:c>
      <x:c r="F19" s="35" t="str">
        <x:f>IF($B19="","",IFERROR(INDEX('계약'!$G$5:$G$204,MATCH($B19,'계약'!$B$5:$B$204,0)),""))</x:f>
      </x:c>
      <x:c r="G19" s="276" t="str">
        <x:f>IF($B19="","",IFERROR(INDEX('계약'!$H$5:$H$204,MATCH($B19,'계약'!$B$5:$B$204,0)),""))</x:f>
      </x:c>
      <x:c r="H19" s="276" t="str">
        <x:f>IF($B19="","",IFERROR(INDEX('계약'!$I$5:$I$204,MATCH($B19,'계약'!$B$5:$B$204,0)),""))</x:f>
      </x:c>
      <x:c r="I19" s="35" t="str">
        <x:f>IF(H19="","",IF(H19&lt;'요약'!$B$2,"만료",(YEAR(H19)-YEAR('요약'!$B$2))*12+MONTH(H19)-MONTH('요약'!$B$2)))</x:f>
      </x:c>
      <x:c r="J19" s="279" t="str">
        <x:f>IF($B19="","",IFERROR(INDEX('계약'!$K$5:$K$204,MATCH($B19,'계약'!$B$5:$B$204,0)),""))</x:f>
      </x:c>
      <x:c r="K19" s="279" t="str">
        <x:f>IF($B19="","",IFERROR(INDEX('계약'!$L$5:$L$204,MATCH($B19,'계약'!$B$5:$B$204,0)),""))</x:f>
      </x:c>
      <x:c r="L19" s="279" t="str">
        <x:f>IF($B19="","",IFERROR(INDEX('수납'!$E$5:$E$204,MATCH($B19,'수납'!$B$5:$B$204,0)),0))</x:f>
      </x:c>
      <x:c r="M19" s="35" t="str">
        <x:f>IF($B19="","",IFERROR(INDEX('수납'!$D$5:$D$204,MATCH($B19,'수납'!$B$5:$B$204,0)),0))</x:f>
      </x:c>
      <x:c r="N19" s="35" t="str">
        <x:f>IF($B19="","",IFERROR(INDEX('계약'!$M$5:$M$204,MATCH($B19,'계약'!$B$5:$B$204,0)),""))</x:f>
      </x:c>
      <x:c r="O19" s="1"/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"/>
      <x:c r="AA19" s="1"/>
      <x:c r="AB19" s="1"/>
      <x:c r="AC19" s="1"/>
      <x:c r="AD19" s="1"/>
      <x:c r="AE19" s="1"/>
    </x:row>
    <x:row r="20" ht="18" customHeight="1">
      <x:c r="A20" s="273" t="str">
        <x:f>IF(B20="","",16)</x:f>
      </x:c>
      <x:c r="B20" s="35" t="str">
        <x:f>IFERROR(INDEX('자산'!$B$5:$B$204,MATCH(16,'자산'!$Z$5:$Z$204,0)),"")</x:f>
      </x:c>
      <x:c r="C20" s="35" t="str">
        <x:f>IF($B20="","",IFERROR(INDEX('자산'!$C$5:$C$204,MATCH($B20,'자산'!$B$5:$B$204,0)),""))</x:f>
      </x:c>
      <x:c r="D20" s="273" t="str">
        <x:f>IF($B20="","",IFERROR(INDEX('자산'!$D$5:$D$204,MATCH($B20,'자산'!$B$5:$B$204,0)),""))</x:f>
      </x:c>
      <x:c r="E20" s="273" t="str">
        <x:f>IF(B20="","",IF(IF($B20="","",IFERROR(INDEX('계약'!$G$5:$G$204,MATCH($B20,'계약'!$B$5:$B$204,0)),""))&lt;&gt;"","대여중","쉬는차"))</x:f>
      </x:c>
      <x:c r="F20" s="35" t="str">
        <x:f>IF($B20="","",IFERROR(INDEX('계약'!$G$5:$G$204,MATCH($B20,'계약'!$B$5:$B$204,0)),""))</x:f>
      </x:c>
      <x:c r="G20" s="276" t="str">
        <x:f>IF($B20="","",IFERROR(INDEX('계약'!$H$5:$H$204,MATCH($B20,'계약'!$B$5:$B$204,0)),""))</x:f>
      </x:c>
      <x:c r="H20" s="276" t="str">
        <x:f>IF($B20="","",IFERROR(INDEX('계약'!$I$5:$I$204,MATCH($B20,'계약'!$B$5:$B$204,0)),""))</x:f>
      </x:c>
      <x:c r="I20" s="35" t="str">
        <x:f>IF(H20="","",IF(H20&lt;'요약'!$B$2,"만료",(YEAR(H20)-YEAR('요약'!$B$2))*12+MONTH(H20)-MONTH('요약'!$B$2)))</x:f>
      </x:c>
      <x:c r="J20" s="279" t="str">
        <x:f>IF($B20="","",IFERROR(INDEX('계약'!$K$5:$K$204,MATCH($B20,'계약'!$B$5:$B$204,0)),""))</x:f>
      </x:c>
      <x:c r="K20" s="279" t="str">
        <x:f>IF($B20="","",IFERROR(INDEX('계약'!$L$5:$L$204,MATCH($B20,'계약'!$B$5:$B$204,0)),""))</x:f>
      </x:c>
      <x:c r="L20" s="279" t="str">
        <x:f>IF($B20="","",IFERROR(INDEX('수납'!$E$5:$E$204,MATCH($B20,'수납'!$B$5:$B$204,0)),0))</x:f>
      </x:c>
      <x:c r="M20" s="35" t="str">
        <x:f>IF($B20="","",IFERROR(INDEX('수납'!$D$5:$D$204,MATCH($B20,'수납'!$B$5:$B$204,0)),0))</x:f>
      </x:c>
      <x:c r="N20" s="35" t="str">
        <x:f>IF($B20="","",IFERROR(INDEX('계약'!$M$5:$M$204,MATCH($B20,'계약'!$B$5:$B$204,0)),""))</x:f>
      </x:c>
      <x:c r="O20" s="1"/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"/>
      <x:c r="AA20" s="1"/>
      <x:c r="AB20" s="1"/>
      <x:c r="AC20" s="1"/>
      <x:c r="AD20" s="1"/>
      <x:c r="AE20" s="1"/>
    </x:row>
    <x:row r="21" ht="18" customHeight="1">
      <x:c r="A21" s="273" t="str">
        <x:f>IF(B21="","",17)</x:f>
      </x:c>
      <x:c r="B21" s="35" t="str">
        <x:f>IFERROR(INDEX('자산'!$B$5:$B$204,MATCH(17,'자산'!$Z$5:$Z$204,0)),"")</x:f>
      </x:c>
      <x:c r="C21" s="35" t="str">
        <x:f>IF($B21="","",IFERROR(INDEX('자산'!$C$5:$C$204,MATCH($B21,'자산'!$B$5:$B$204,0)),""))</x:f>
      </x:c>
      <x:c r="D21" s="273" t="str">
        <x:f>IF($B21="","",IFERROR(INDEX('자산'!$D$5:$D$204,MATCH($B21,'자산'!$B$5:$B$204,0)),""))</x:f>
      </x:c>
      <x:c r="E21" s="273" t="str">
        <x:f>IF(B21="","",IF(IF($B21="","",IFERROR(INDEX('계약'!$G$5:$G$204,MATCH($B21,'계약'!$B$5:$B$204,0)),""))&lt;&gt;"","대여중","쉬는차"))</x:f>
      </x:c>
      <x:c r="F21" s="35" t="str">
        <x:f>IF($B21="","",IFERROR(INDEX('계약'!$G$5:$G$204,MATCH($B21,'계약'!$B$5:$B$204,0)),""))</x:f>
      </x:c>
      <x:c r="G21" s="276" t="str">
        <x:f>IF($B21="","",IFERROR(INDEX('계약'!$H$5:$H$204,MATCH($B21,'계약'!$B$5:$B$204,0)),""))</x:f>
      </x:c>
      <x:c r="H21" s="276" t="str">
        <x:f>IF($B21="","",IFERROR(INDEX('계약'!$I$5:$I$204,MATCH($B21,'계약'!$B$5:$B$204,0)),""))</x:f>
      </x:c>
      <x:c r="I21" s="35" t="str">
        <x:f>IF(H21="","",IF(H21&lt;'요약'!$B$2,"만료",(YEAR(H21)-YEAR('요약'!$B$2))*12+MONTH(H21)-MONTH('요약'!$B$2)))</x:f>
      </x:c>
      <x:c r="J21" s="279" t="str">
        <x:f>IF($B21="","",IFERROR(INDEX('계약'!$K$5:$K$204,MATCH($B21,'계약'!$B$5:$B$204,0)),""))</x:f>
      </x:c>
      <x:c r="K21" s="279" t="str">
        <x:f>IF($B21="","",IFERROR(INDEX('계약'!$L$5:$L$204,MATCH($B21,'계약'!$B$5:$B$204,0)),""))</x:f>
      </x:c>
      <x:c r="L21" s="279" t="str">
        <x:f>IF($B21="","",IFERROR(INDEX('수납'!$E$5:$E$204,MATCH($B21,'수납'!$B$5:$B$204,0)),0))</x:f>
      </x:c>
      <x:c r="M21" s="35" t="str">
        <x:f>IF($B21="","",IFERROR(INDEX('수납'!$D$5:$D$204,MATCH($B21,'수납'!$B$5:$B$204,0)),0))</x:f>
      </x:c>
      <x:c r="N21" s="35" t="str">
        <x:f>IF($B21="","",IFERROR(INDEX('계약'!$M$5:$M$204,MATCH($B21,'계약'!$B$5:$B$204,0)),""))</x:f>
      </x:c>
      <x:c r="O21" s="1"/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"/>
      <x:c r="AA21" s="1"/>
      <x:c r="AB21" s="1"/>
      <x:c r="AC21" s="1"/>
      <x:c r="AD21" s="1"/>
      <x:c r="AE21" s="1"/>
    </x:row>
    <x:row r="22" ht="18" customHeight="1">
      <x:c r="A22" s="273" t="str">
        <x:f>IF(B22="","",18)</x:f>
      </x:c>
      <x:c r="B22" s="35" t="str">
        <x:f>IFERROR(INDEX('자산'!$B$5:$B$204,MATCH(18,'자산'!$Z$5:$Z$204,0)),"")</x:f>
      </x:c>
      <x:c r="C22" s="35" t="str">
        <x:f>IF($B22="","",IFERROR(INDEX('자산'!$C$5:$C$204,MATCH($B22,'자산'!$B$5:$B$204,0)),""))</x:f>
      </x:c>
      <x:c r="D22" s="273" t="str">
        <x:f>IF($B22="","",IFERROR(INDEX('자산'!$D$5:$D$204,MATCH($B22,'자산'!$B$5:$B$204,0)),""))</x:f>
      </x:c>
      <x:c r="E22" s="273" t="str">
        <x:f>IF(B22="","",IF(IF($B22="","",IFERROR(INDEX('계약'!$G$5:$G$204,MATCH($B22,'계약'!$B$5:$B$204,0)),""))&lt;&gt;"","대여중","쉬는차"))</x:f>
      </x:c>
      <x:c r="F22" s="35" t="str">
        <x:f>IF($B22="","",IFERROR(INDEX('계약'!$G$5:$G$204,MATCH($B22,'계약'!$B$5:$B$204,0)),""))</x:f>
      </x:c>
      <x:c r="G22" s="276" t="str">
        <x:f>IF($B22="","",IFERROR(INDEX('계약'!$H$5:$H$204,MATCH($B22,'계약'!$B$5:$B$204,0)),""))</x:f>
      </x:c>
      <x:c r="H22" s="276" t="str">
        <x:f>IF($B22="","",IFERROR(INDEX('계약'!$I$5:$I$204,MATCH($B22,'계약'!$B$5:$B$204,0)),""))</x:f>
      </x:c>
      <x:c r="I22" s="35" t="str">
        <x:f>IF(H22="","",IF(H22&lt;'요약'!$B$2,"만료",(YEAR(H22)-YEAR('요약'!$B$2))*12+MONTH(H22)-MONTH('요약'!$B$2)))</x:f>
      </x:c>
      <x:c r="J22" s="279" t="str">
        <x:f>IF($B22="","",IFERROR(INDEX('계약'!$K$5:$K$204,MATCH($B22,'계약'!$B$5:$B$204,0)),""))</x:f>
      </x:c>
      <x:c r="K22" s="279" t="str">
        <x:f>IF($B22="","",IFERROR(INDEX('계약'!$L$5:$L$204,MATCH($B22,'계약'!$B$5:$B$204,0)),""))</x:f>
      </x:c>
      <x:c r="L22" s="279" t="str">
        <x:f>IF($B22="","",IFERROR(INDEX('수납'!$E$5:$E$204,MATCH($B22,'수납'!$B$5:$B$204,0)),0))</x:f>
      </x:c>
      <x:c r="M22" s="35" t="str">
        <x:f>IF($B22="","",IFERROR(INDEX('수납'!$D$5:$D$204,MATCH($B22,'수납'!$B$5:$B$204,0)),0))</x:f>
      </x:c>
      <x:c r="N22" s="35" t="str">
        <x:f>IF($B22="","",IFERROR(INDEX('계약'!$M$5:$M$204,MATCH($B22,'계약'!$B$5:$B$204,0)),""))</x:f>
      </x:c>
      <x:c r="O22" s="1"/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1"/>
      <x:c r="AA22" s="1"/>
      <x:c r="AB22" s="1"/>
      <x:c r="AC22" s="1"/>
      <x:c r="AD22" s="1"/>
      <x:c r="AE22" s="1"/>
    </x:row>
    <x:row r="23" ht="18" customHeight="1">
      <x:c r="A23" s="273" t="str">
        <x:f>IF(B23="","",19)</x:f>
      </x:c>
      <x:c r="B23" s="35" t="str">
        <x:f>IFERROR(INDEX('자산'!$B$5:$B$204,MATCH(19,'자산'!$Z$5:$Z$204,0)),"")</x:f>
      </x:c>
      <x:c r="C23" s="35" t="str">
        <x:f>IF($B23="","",IFERROR(INDEX('자산'!$C$5:$C$204,MATCH($B23,'자산'!$B$5:$B$204,0)),""))</x:f>
      </x:c>
      <x:c r="D23" s="273" t="str">
        <x:f>IF($B23="","",IFERROR(INDEX('자산'!$D$5:$D$204,MATCH($B23,'자산'!$B$5:$B$204,0)),""))</x:f>
      </x:c>
      <x:c r="E23" s="273" t="str">
        <x:f>IF(B23="","",IF(IF($B23="","",IFERROR(INDEX('계약'!$G$5:$G$204,MATCH($B23,'계약'!$B$5:$B$204,0)),""))&lt;&gt;"","대여중","쉬는차"))</x:f>
      </x:c>
      <x:c r="F23" s="35" t="str">
        <x:f>IF($B23="","",IFERROR(INDEX('계약'!$G$5:$G$204,MATCH($B23,'계약'!$B$5:$B$204,0)),""))</x:f>
      </x:c>
      <x:c r="G23" s="276" t="str">
        <x:f>IF($B23="","",IFERROR(INDEX('계약'!$H$5:$H$204,MATCH($B23,'계약'!$B$5:$B$204,0)),""))</x:f>
      </x:c>
      <x:c r="H23" s="276" t="str">
        <x:f>IF($B23="","",IFERROR(INDEX('계약'!$I$5:$I$204,MATCH($B23,'계약'!$B$5:$B$204,0)),""))</x:f>
      </x:c>
      <x:c r="I23" s="35" t="str">
        <x:f>IF(H23="","",IF(H23&lt;'요약'!$B$2,"만료",(YEAR(H23)-YEAR('요약'!$B$2))*12+MONTH(H23)-MONTH('요약'!$B$2)))</x:f>
      </x:c>
      <x:c r="J23" s="279" t="str">
        <x:f>IF($B23="","",IFERROR(INDEX('계약'!$K$5:$K$204,MATCH($B23,'계약'!$B$5:$B$204,0)),""))</x:f>
      </x:c>
      <x:c r="K23" s="279" t="str">
        <x:f>IF($B23="","",IFERROR(INDEX('계약'!$L$5:$L$204,MATCH($B23,'계약'!$B$5:$B$204,0)),""))</x:f>
      </x:c>
      <x:c r="L23" s="279" t="str">
        <x:f>IF($B23="","",IFERROR(INDEX('수납'!$E$5:$E$204,MATCH($B23,'수납'!$B$5:$B$204,0)),0))</x:f>
      </x:c>
      <x:c r="M23" s="35" t="str">
        <x:f>IF($B23="","",IFERROR(INDEX('수납'!$D$5:$D$204,MATCH($B23,'수납'!$B$5:$B$204,0)),0))</x:f>
      </x:c>
      <x:c r="N23" s="35" t="str">
        <x:f>IF($B23="","",IFERROR(INDEX('계약'!$M$5:$M$204,MATCH($B23,'계약'!$B$5:$B$204,0)),""))</x:f>
      </x:c>
      <x:c r="O23" s="1"/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"/>
      <x:c r="AA23" s="1"/>
      <x:c r="AB23" s="1"/>
      <x:c r="AC23" s="1"/>
      <x:c r="AD23" s="1"/>
      <x:c r="AE23" s="1"/>
    </x:row>
    <x:row r="24" ht="18" customHeight="1">
      <x:c r="A24" s="273" t="str">
        <x:f>IF(B24="","",20)</x:f>
      </x:c>
      <x:c r="B24" s="35" t="str">
        <x:f>IFERROR(INDEX('자산'!$B$5:$B$204,MATCH(20,'자산'!$Z$5:$Z$204,0)),"")</x:f>
      </x:c>
      <x:c r="C24" s="35" t="str">
        <x:f>IF($B24="","",IFERROR(INDEX('자산'!$C$5:$C$204,MATCH($B24,'자산'!$B$5:$B$204,0)),""))</x:f>
      </x:c>
      <x:c r="D24" s="273" t="str">
        <x:f>IF($B24="","",IFERROR(INDEX('자산'!$D$5:$D$204,MATCH($B24,'자산'!$B$5:$B$204,0)),""))</x:f>
      </x:c>
      <x:c r="E24" s="273" t="str">
        <x:f>IF(B24="","",IF(IF($B24="","",IFERROR(INDEX('계약'!$G$5:$G$204,MATCH($B24,'계약'!$B$5:$B$204,0)),""))&lt;&gt;"","대여중","쉬는차"))</x:f>
      </x:c>
      <x:c r="F24" s="35" t="str">
        <x:f>IF($B24="","",IFERROR(INDEX('계약'!$G$5:$G$204,MATCH($B24,'계약'!$B$5:$B$204,0)),""))</x:f>
      </x:c>
      <x:c r="G24" s="276" t="str">
        <x:f>IF($B24="","",IFERROR(INDEX('계약'!$H$5:$H$204,MATCH($B24,'계약'!$B$5:$B$204,0)),""))</x:f>
      </x:c>
      <x:c r="H24" s="276" t="str">
        <x:f>IF($B24="","",IFERROR(INDEX('계약'!$I$5:$I$204,MATCH($B24,'계약'!$B$5:$B$204,0)),""))</x:f>
      </x:c>
      <x:c r="I24" s="35" t="str">
        <x:f>IF(H24="","",IF(H24&lt;'요약'!$B$2,"만료",(YEAR(H24)-YEAR('요약'!$B$2))*12+MONTH(H24)-MONTH('요약'!$B$2)))</x:f>
      </x:c>
      <x:c r="J24" s="279" t="str">
        <x:f>IF($B24="","",IFERROR(INDEX('계약'!$K$5:$K$204,MATCH($B24,'계약'!$B$5:$B$204,0)),""))</x:f>
      </x:c>
      <x:c r="K24" s="279" t="str">
        <x:f>IF($B24="","",IFERROR(INDEX('계약'!$L$5:$L$204,MATCH($B24,'계약'!$B$5:$B$204,0)),""))</x:f>
      </x:c>
      <x:c r="L24" s="279" t="str">
        <x:f>IF($B24="","",IFERROR(INDEX('수납'!$E$5:$E$204,MATCH($B24,'수납'!$B$5:$B$204,0)),0))</x:f>
      </x:c>
      <x:c r="M24" s="35" t="str">
        <x:f>IF($B24="","",IFERROR(INDEX('수납'!$D$5:$D$204,MATCH($B24,'수납'!$B$5:$B$204,0)),0))</x:f>
      </x:c>
      <x:c r="N24" s="35" t="str">
        <x:f>IF($B24="","",IFERROR(INDEX('계약'!$M$5:$M$204,MATCH($B24,'계약'!$B$5:$B$204,0)),""))</x:f>
      </x:c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  <x:c r="AA24" s="1"/>
      <x:c r="AB24" s="1"/>
      <x:c r="AC24" s="1"/>
      <x:c r="AD24" s="1"/>
      <x:c r="AE24" s="1"/>
    </x:row>
    <x:row r="25" ht="18" customHeight="1">
      <x:c r="A25" s="273" t="str">
        <x:f>IF(B25="","",21)</x:f>
      </x:c>
      <x:c r="B25" s="35" t="str">
        <x:f>IFERROR(INDEX('자산'!$B$5:$B$204,MATCH(21,'자산'!$Z$5:$Z$204,0)),"")</x:f>
      </x:c>
      <x:c r="C25" s="35" t="str">
        <x:f>IF($B25="","",IFERROR(INDEX('자산'!$C$5:$C$204,MATCH($B25,'자산'!$B$5:$B$204,0)),""))</x:f>
      </x:c>
      <x:c r="D25" s="273" t="str">
        <x:f>IF($B25="","",IFERROR(INDEX('자산'!$D$5:$D$204,MATCH($B25,'자산'!$B$5:$B$204,0)),""))</x:f>
      </x:c>
      <x:c r="E25" s="273" t="str">
        <x:f>IF(B25="","",IF(IF($B25="","",IFERROR(INDEX('계약'!$G$5:$G$204,MATCH($B25,'계약'!$B$5:$B$204,0)),""))&lt;&gt;"","대여중","쉬는차"))</x:f>
      </x:c>
      <x:c r="F25" s="35" t="str">
        <x:f>IF($B25="","",IFERROR(INDEX('계약'!$G$5:$G$204,MATCH($B25,'계약'!$B$5:$B$204,0)),""))</x:f>
      </x:c>
      <x:c r="G25" s="276" t="str">
        <x:f>IF($B25="","",IFERROR(INDEX('계약'!$H$5:$H$204,MATCH($B25,'계약'!$B$5:$B$204,0)),""))</x:f>
      </x:c>
      <x:c r="H25" s="276" t="str">
        <x:f>IF($B25="","",IFERROR(INDEX('계약'!$I$5:$I$204,MATCH($B25,'계약'!$B$5:$B$204,0)),""))</x:f>
      </x:c>
      <x:c r="I25" s="35" t="str">
        <x:f>IF(H25="","",IF(H25&lt;'요약'!$B$2,"만료",(YEAR(H25)-YEAR('요약'!$B$2))*12+MONTH(H25)-MONTH('요약'!$B$2)))</x:f>
      </x:c>
      <x:c r="J25" s="279" t="str">
        <x:f>IF($B25="","",IFERROR(INDEX('계약'!$K$5:$K$204,MATCH($B25,'계약'!$B$5:$B$204,0)),""))</x:f>
      </x:c>
      <x:c r="K25" s="279" t="str">
        <x:f>IF($B25="","",IFERROR(INDEX('계약'!$L$5:$L$204,MATCH($B25,'계약'!$B$5:$B$204,0)),""))</x:f>
      </x:c>
      <x:c r="L25" s="279" t="str">
        <x:f>IF($B25="","",IFERROR(INDEX('수납'!$E$5:$E$204,MATCH($B25,'수납'!$B$5:$B$204,0)),0))</x:f>
      </x:c>
      <x:c r="M25" s="35" t="str">
        <x:f>IF($B25="","",IFERROR(INDEX('수납'!$D$5:$D$204,MATCH($B25,'수납'!$B$5:$B$204,0)),0))</x:f>
      </x:c>
      <x:c r="N25" s="35" t="str">
        <x:f>IF($B25="","",IFERROR(INDEX('계약'!$M$5:$M$204,MATCH($B25,'계약'!$B$5:$B$204,0)),""))</x:f>
      </x:c>
      <x:c r="O25" s="1"/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"/>
      <x:c r="AA25" s="1"/>
      <x:c r="AB25" s="1"/>
      <x:c r="AC25" s="1"/>
      <x:c r="AD25" s="1"/>
      <x:c r="AE25" s="1"/>
    </x:row>
    <x:row r="26" ht="18" customHeight="1">
      <x:c r="A26" s="273" t="str">
        <x:f>IF(B26="","",22)</x:f>
      </x:c>
      <x:c r="B26" s="35" t="str">
        <x:f>IFERROR(INDEX('자산'!$B$5:$B$204,MATCH(22,'자산'!$Z$5:$Z$204,0)),"")</x:f>
      </x:c>
      <x:c r="C26" s="35" t="str">
        <x:f>IF($B26="","",IFERROR(INDEX('자산'!$C$5:$C$204,MATCH($B26,'자산'!$B$5:$B$204,0)),""))</x:f>
      </x:c>
      <x:c r="D26" s="273" t="str">
        <x:f>IF($B26="","",IFERROR(INDEX('자산'!$D$5:$D$204,MATCH($B26,'자산'!$B$5:$B$204,0)),""))</x:f>
      </x:c>
      <x:c r="E26" s="273" t="str">
        <x:f>IF(B26="","",IF(IF($B26="","",IFERROR(INDEX('계약'!$G$5:$G$204,MATCH($B26,'계약'!$B$5:$B$204,0)),""))&lt;&gt;"","대여중","쉬는차"))</x:f>
      </x:c>
      <x:c r="F26" s="35" t="str">
        <x:f>IF($B26="","",IFERROR(INDEX('계약'!$G$5:$G$204,MATCH($B26,'계약'!$B$5:$B$204,0)),""))</x:f>
      </x:c>
      <x:c r="G26" s="276" t="str">
        <x:f>IF($B26="","",IFERROR(INDEX('계약'!$H$5:$H$204,MATCH($B26,'계약'!$B$5:$B$204,0)),""))</x:f>
      </x:c>
      <x:c r="H26" s="276" t="str">
        <x:f>IF($B26="","",IFERROR(INDEX('계약'!$I$5:$I$204,MATCH($B26,'계약'!$B$5:$B$204,0)),""))</x:f>
      </x:c>
      <x:c r="I26" s="35" t="str">
        <x:f>IF(H26="","",IF(H26&lt;'요약'!$B$2,"만료",(YEAR(H26)-YEAR('요약'!$B$2))*12+MONTH(H26)-MONTH('요약'!$B$2)))</x:f>
      </x:c>
      <x:c r="J26" s="279" t="str">
        <x:f>IF($B26="","",IFERROR(INDEX('계약'!$K$5:$K$204,MATCH($B26,'계약'!$B$5:$B$204,0)),""))</x:f>
      </x:c>
      <x:c r="K26" s="279" t="str">
        <x:f>IF($B26="","",IFERROR(INDEX('계약'!$L$5:$L$204,MATCH($B26,'계약'!$B$5:$B$204,0)),""))</x:f>
      </x:c>
      <x:c r="L26" s="279" t="str">
        <x:f>IF($B26="","",IFERROR(INDEX('수납'!$E$5:$E$204,MATCH($B26,'수납'!$B$5:$B$204,0)),0))</x:f>
      </x:c>
      <x:c r="M26" s="35" t="str">
        <x:f>IF($B26="","",IFERROR(INDEX('수납'!$D$5:$D$204,MATCH($B26,'수납'!$B$5:$B$204,0)),0))</x:f>
      </x:c>
      <x:c r="N26" s="35" t="str">
        <x:f>IF($B26="","",IFERROR(INDEX('계약'!$M$5:$M$204,MATCH($B26,'계약'!$B$5:$B$204,0)),""))</x:f>
      </x:c>
      <x:c r="O26" s="1"/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"/>
      <x:c r="AA26" s="1"/>
      <x:c r="AB26" s="1"/>
      <x:c r="AC26" s="1"/>
      <x:c r="AD26" s="1"/>
      <x:c r="AE26" s="1"/>
    </x:row>
    <x:row r="27" ht="18" customHeight="1">
      <x:c r="A27" s="273" t="str">
        <x:f>IF(B27="","",23)</x:f>
      </x:c>
      <x:c r="B27" s="35" t="str">
        <x:f>IFERROR(INDEX('자산'!$B$5:$B$204,MATCH(23,'자산'!$Z$5:$Z$204,0)),"")</x:f>
      </x:c>
      <x:c r="C27" s="35" t="str">
        <x:f>IF($B27="","",IFERROR(INDEX('자산'!$C$5:$C$204,MATCH($B27,'자산'!$B$5:$B$204,0)),""))</x:f>
      </x:c>
      <x:c r="D27" s="273" t="str">
        <x:f>IF($B27="","",IFERROR(INDEX('자산'!$D$5:$D$204,MATCH($B27,'자산'!$B$5:$B$204,0)),""))</x:f>
      </x:c>
      <x:c r="E27" s="273" t="str">
        <x:f>IF(B27="","",IF(IF($B27="","",IFERROR(INDEX('계약'!$G$5:$G$204,MATCH($B27,'계약'!$B$5:$B$204,0)),""))&lt;&gt;"","대여중","쉬는차"))</x:f>
      </x:c>
      <x:c r="F27" s="35" t="str">
        <x:f>IF($B27="","",IFERROR(INDEX('계약'!$G$5:$G$204,MATCH($B27,'계약'!$B$5:$B$204,0)),""))</x:f>
      </x:c>
      <x:c r="G27" s="276" t="str">
        <x:f>IF($B27="","",IFERROR(INDEX('계약'!$H$5:$H$204,MATCH($B27,'계약'!$B$5:$B$204,0)),""))</x:f>
      </x:c>
      <x:c r="H27" s="276" t="str">
        <x:f>IF($B27="","",IFERROR(INDEX('계약'!$I$5:$I$204,MATCH($B27,'계약'!$B$5:$B$204,0)),""))</x:f>
      </x:c>
      <x:c r="I27" s="35" t="str">
        <x:f>IF(H27="","",IF(H27&lt;'요약'!$B$2,"만료",(YEAR(H27)-YEAR('요약'!$B$2))*12+MONTH(H27)-MONTH('요약'!$B$2)))</x:f>
      </x:c>
      <x:c r="J27" s="279" t="str">
        <x:f>IF($B27="","",IFERROR(INDEX('계약'!$K$5:$K$204,MATCH($B27,'계약'!$B$5:$B$204,0)),""))</x:f>
      </x:c>
      <x:c r="K27" s="279" t="str">
        <x:f>IF($B27="","",IFERROR(INDEX('계약'!$L$5:$L$204,MATCH($B27,'계약'!$B$5:$B$204,0)),""))</x:f>
      </x:c>
      <x:c r="L27" s="279" t="str">
        <x:f>IF($B27="","",IFERROR(INDEX('수납'!$E$5:$E$204,MATCH($B27,'수납'!$B$5:$B$204,0)),0))</x:f>
      </x:c>
      <x:c r="M27" s="35" t="str">
        <x:f>IF($B27="","",IFERROR(INDEX('수납'!$D$5:$D$204,MATCH($B27,'수납'!$B$5:$B$204,0)),0))</x:f>
      </x:c>
      <x:c r="N27" s="35" t="str">
        <x:f>IF($B27="","",IFERROR(INDEX('계약'!$M$5:$M$204,MATCH($B27,'계약'!$B$5:$B$204,0)),""))</x:f>
      </x:c>
      <x:c r="O27" s="1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"/>
      <x:c r="AA27" s="1"/>
      <x:c r="AB27" s="1"/>
      <x:c r="AC27" s="1"/>
      <x:c r="AD27" s="1"/>
      <x:c r="AE27" s="1"/>
    </x:row>
    <x:row r="28" ht="18" customHeight="1">
      <x:c r="A28" s="273" t="str">
        <x:f>IF(B28="","",24)</x:f>
      </x:c>
      <x:c r="B28" s="35" t="str">
        <x:f>IFERROR(INDEX('자산'!$B$5:$B$204,MATCH(24,'자산'!$Z$5:$Z$204,0)),"")</x:f>
      </x:c>
      <x:c r="C28" s="35" t="str">
        <x:f>IF($B28="","",IFERROR(INDEX('자산'!$C$5:$C$204,MATCH($B28,'자산'!$B$5:$B$204,0)),""))</x:f>
      </x:c>
      <x:c r="D28" s="273" t="str">
        <x:f>IF($B28="","",IFERROR(INDEX('자산'!$D$5:$D$204,MATCH($B28,'자산'!$B$5:$B$204,0)),""))</x:f>
      </x:c>
      <x:c r="E28" s="273" t="str">
        <x:f>IF(B28="","",IF(IF($B28="","",IFERROR(INDEX('계약'!$G$5:$G$204,MATCH($B28,'계약'!$B$5:$B$204,0)),""))&lt;&gt;"","대여중","쉬는차"))</x:f>
      </x:c>
      <x:c r="F28" s="35" t="str">
        <x:f>IF($B28="","",IFERROR(INDEX('계약'!$G$5:$G$204,MATCH($B28,'계약'!$B$5:$B$204,0)),""))</x:f>
      </x:c>
      <x:c r="G28" s="276" t="str">
        <x:f>IF($B28="","",IFERROR(INDEX('계약'!$H$5:$H$204,MATCH($B28,'계약'!$B$5:$B$204,0)),""))</x:f>
      </x:c>
      <x:c r="H28" s="276" t="str">
        <x:f>IF($B28="","",IFERROR(INDEX('계약'!$I$5:$I$204,MATCH($B28,'계약'!$B$5:$B$204,0)),""))</x:f>
      </x:c>
      <x:c r="I28" s="35" t="str">
        <x:f>IF(H28="","",IF(H28&lt;'요약'!$B$2,"만료",(YEAR(H28)-YEAR('요약'!$B$2))*12+MONTH(H28)-MONTH('요약'!$B$2)))</x:f>
      </x:c>
      <x:c r="J28" s="279" t="str">
        <x:f>IF($B28="","",IFERROR(INDEX('계약'!$K$5:$K$204,MATCH($B28,'계약'!$B$5:$B$204,0)),""))</x:f>
      </x:c>
      <x:c r="K28" s="279" t="str">
        <x:f>IF($B28="","",IFERROR(INDEX('계약'!$L$5:$L$204,MATCH($B28,'계약'!$B$5:$B$204,0)),""))</x:f>
      </x:c>
      <x:c r="L28" s="279" t="str">
        <x:f>IF($B28="","",IFERROR(INDEX('수납'!$E$5:$E$204,MATCH($B28,'수납'!$B$5:$B$204,0)),0))</x:f>
      </x:c>
      <x:c r="M28" s="35" t="str">
        <x:f>IF($B28="","",IFERROR(INDEX('수납'!$D$5:$D$204,MATCH($B28,'수납'!$B$5:$B$204,0)),0))</x:f>
      </x:c>
      <x:c r="N28" s="35" t="str">
        <x:f>IF($B28="","",IFERROR(INDEX('계약'!$M$5:$M$204,MATCH($B28,'계약'!$B$5:$B$204,0)),""))</x:f>
      </x:c>
      <x:c r="O28" s="1"/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"/>
      <x:c r="AA28" s="1"/>
      <x:c r="AB28" s="1"/>
      <x:c r="AC28" s="1"/>
      <x:c r="AD28" s="1"/>
      <x:c r="AE28" s="1"/>
    </x:row>
    <x:row r="29" ht="18" customHeight="1">
      <x:c r="A29" s="273" t="str">
        <x:f>IF(B29="","",25)</x:f>
      </x:c>
      <x:c r="B29" s="35" t="str">
        <x:f>IFERROR(INDEX('자산'!$B$5:$B$204,MATCH(25,'자산'!$Z$5:$Z$204,0)),"")</x:f>
      </x:c>
      <x:c r="C29" s="35" t="str">
        <x:f>IF($B29="","",IFERROR(INDEX('자산'!$C$5:$C$204,MATCH($B29,'자산'!$B$5:$B$204,0)),""))</x:f>
      </x:c>
      <x:c r="D29" s="273" t="str">
        <x:f>IF($B29="","",IFERROR(INDEX('자산'!$D$5:$D$204,MATCH($B29,'자산'!$B$5:$B$204,0)),""))</x:f>
      </x:c>
      <x:c r="E29" s="273" t="str">
        <x:f>IF(B29="","",IF(IF($B29="","",IFERROR(INDEX('계약'!$G$5:$G$204,MATCH($B29,'계약'!$B$5:$B$204,0)),""))&lt;&gt;"","대여중","쉬는차"))</x:f>
      </x:c>
      <x:c r="F29" s="35" t="str">
        <x:f>IF($B29="","",IFERROR(INDEX('계약'!$G$5:$G$204,MATCH($B29,'계약'!$B$5:$B$204,0)),""))</x:f>
      </x:c>
      <x:c r="G29" s="276" t="str">
        <x:f>IF($B29="","",IFERROR(INDEX('계약'!$H$5:$H$204,MATCH($B29,'계약'!$B$5:$B$204,0)),""))</x:f>
      </x:c>
      <x:c r="H29" s="276" t="str">
        <x:f>IF($B29="","",IFERROR(INDEX('계약'!$I$5:$I$204,MATCH($B29,'계약'!$B$5:$B$204,0)),""))</x:f>
      </x:c>
      <x:c r="I29" s="35" t="str">
        <x:f>IF(H29="","",IF(H29&lt;'요약'!$B$2,"만료",(YEAR(H29)-YEAR('요약'!$B$2))*12+MONTH(H29)-MONTH('요약'!$B$2)))</x:f>
      </x:c>
      <x:c r="J29" s="279" t="str">
        <x:f>IF($B29="","",IFERROR(INDEX('계약'!$K$5:$K$204,MATCH($B29,'계약'!$B$5:$B$204,0)),""))</x:f>
      </x:c>
      <x:c r="K29" s="279" t="str">
        <x:f>IF($B29="","",IFERROR(INDEX('계약'!$L$5:$L$204,MATCH($B29,'계약'!$B$5:$B$204,0)),""))</x:f>
      </x:c>
      <x:c r="L29" s="279" t="str">
        <x:f>IF($B29="","",IFERROR(INDEX('수납'!$E$5:$E$204,MATCH($B29,'수납'!$B$5:$B$204,0)),0))</x:f>
      </x:c>
      <x:c r="M29" s="35" t="str">
        <x:f>IF($B29="","",IFERROR(INDEX('수납'!$D$5:$D$204,MATCH($B29,'수납'!$B$5:$B$204,0)),0))</x:f>
      </x:c>
      <x:c r="N29" s="35" t="str">
        <x:f>IF($B29="","",IFERROR(INDEX('계약'!$M$5:$M$204,MATCH($B29,'계약'!$B$5:$B$204,0)),""))</x:f>
      </x:c>
      <x:c r="O29" s="1"/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"/>
      <x:c r="AA29" s="1"/>
      <x:c r="AB29" s="1"/>
      <x:c r="AC29" s="1"/>
      <x:c r="AD29" s="1"/>
      <x:c r="AE29" s="1"/>
    </x:row>
    <x:row r="30" ht="18" customHeight="1">
      <x:c r="A30" s="273" t="str">
        <x:f>IF(B30="","",26)</x:f>
      </x:c>
      <x:c r="B30" s="35" t="str">
        <x:f>IFERROR(INDEX('자산'!$B$5:$B$204,MATCH(26,'자산'!$Z$5:$Z$204,0)),"")</x:f>
      </x:c>
      <x:c r="C30" s="35" t="str">
        <x:f>IF($B30="","",IFERROR(INDEX('자산'!$C$5:$C$204,MATCH($B30,'자산'!$B$5:$B$204,0)),""))</x:f>
      </x:c>
      <x:c r="D30" s="273" t="str">
        <x:f>IF($B30="","",IFERROR(INDEX('자산'!$D$5:$D$204,MATCH($B30,'자산'!$B$5:$B$204,0)),""))</x:f>
      </x:c>
      <x:c r="E30" s="273" t="str">
        <x:f>IF(B30="","",IF(IF($B30="","",IFERROR(INDEX('계약'!$G$5:$G$204,MATCH($B30,'계약'!$B$5:$B$204,0)),""))&lt;&gt;"","대여중","쉬는차"))</x:f>
      </x:c>
      <x:c r="F30" s="35" t="str">
        <x:f>IF($B30="","",IFERROR(INDEX('계약'!$G$5:$G$204,MATCH($B30,'계약'!$B$5:$B$204,0)),""))</x:f>
      </x:c>
      <x:c r="G30" s="276" t="str">
        <x:f>IF($B30="","",IFERROR(INDEX('계약'!$H$5:$H$204,MATCH($B30,'계약'!$B$5:$B$204,0)),""))</x:f>
      </x:c>
      <x:c r="H30" s="276" t="str">
        <x:f>IF($B30="","",IFERROR(INDEX('계약'!$I$5:$I$204,MATCH($B30,'계약'!$B$5:$B$204,0)),""))</x:f>
      </x:c>
      <x:c r="I30" s="35" t="str">
        <x:f>IF(H30="","",IF(H30&lt;'요약'!$B$2,"만료",(YEAR(H30)-YEAR('요약'!$B$2))*12+MONTH(H30)-MONTH('요약'!$B$2)))</x:f>
      </x:c>
      <x:c r="J30" s="279" t="str">
        <x:f>IF($B30="","",IFERROR(INDEX('계약'!$K$5:$K$204,MATCH($B30,'계약'!$B$5:$B$204,0)),""))</x:f>
      </x:c>
      <x:c r="K30" s="279" t="str">
        <x:f>IF($B30="","",IFERROR(INDEX('계약'!$L$5:$L$204,MATCH($B30,'계약'!$B$5:$B$204,0)),""))</x:f>
      </x:c>
      <x:c r="L30" s="279" t="str">
        <x:f>IF($B30="","",IFERROR(INDEX('수납'!$E$5:$E$204,MATCH($B30,'수납'!$B$5:$B$204,0)),0))</x:f>
      </x:c>
      <x:c r="M30" s="35" t="str">
        <x:f>IF($B30="","",IFERROR(INDEX('수납'!$D$5:$D$204,MATCH($B30,'수납'!$B$5:$B$204,0)),0))</x:f>
      </x:c>
      <x:c r="N30" s="35" t="str">
        <x:f>IF($B30="","",IFERROR(INDEX('계약'!$M$5:$M$204,MATCH($B30,'계약'!$B$5:$B$204,0)),""))</x:f>
      </x:c>
      <x:c r="O30" s="1"/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"/>
      <x:c r="AA30" s="1"/>
      <x:c r="AB30" s="1"/>
      <x:c r="AC30" s="1"/>
      <x:c r="AD30" s="1"/>
      <x:c r="AE30" s="1"/>
    </x:row>
    <x:row r="31" ht="18" customHeight="1">
      <x:c r="A31" s="273" t="str">
        <x:f>IF(B31="","",27)</x:f>
      </x:c>
      <x:c r="B31" s="35" t="str">
        <x:f>IFERROR(INDEX('자산'!$B$5:$B$204,MATCH(27,'자산'!$Z$5:$Z$204,0)),"")</x:f>
      </x:c>
      <x:c r="C31" s="35" t="str">
        <x:f>IF($B31="","",IFERROR(INDEX('자산'!$C$5:$C$204,MATCH($B31,'자산'!$B$5:$B$204,0)),""))</x:f>
      </x:c>
      <x:c r="D31" s="273" t="str">
        <x:f>IF($B31="","",IFERROR(INDEX('자산'!$D$5:$D$204,MATCH($B31,'자산'!$B$5:$B$204,0)),""))</x:f>
      </x:c>
      <x:c r="E31" s="273" t="str">
        <x:f>IF(B31="","",IF(IF($B31="","",IFERROR(INDEX('계약'!$G$5:$G$204,MATCH($B31,'계약'!$B$5:$B$204,0)),""))&lt;&gt;"","대여중","쉬는차"))</x:f>
      </x:c>
      <x:c r="F31" s="35" t="str">
        <x:f>IF($B31="","",IFERROR(INDEX('계약'!$G$5:$G$204,MATCH($B31,'계약'!$B$5:$B$204,0)),""))</x:f>
      </x:c>
      <x:c r="G31" s="276" t="str">
        <x:f>IF($B31="","",IFERROR(INDEX('계약'!$H$5:$H$204,MATCH($B31,'계약'!$B$5:$B$204,0)),""))</x:f>
      </x:c>
      <x:c r="H31" s="276" t="str">
        <x:f>IF($B31="","",IFERROR(INDEX('계약'!$I$5:$I$204,MATCH($B31,'계약'!$B$5:$B$204,0)),""))</x:f>
      </x:c>
      <x:c r="I31" s="35" t="str">
        <x:f>IF(H31="","",IF(H31&lt;'요약'!$B$2,"만료",(YEAR(H31)-YEAR('요약'!$B$2))*12+MONTH(H31)-MONTH('요약'!$B$2)))</x:f>
      </x:c>
      <x:c r="J31" s="279" t="str">
        <x:f>IF($B31="","",IFERROR(INDEX('계약'!$K$5:$K$204,MATCH($B31,'계약'!$B$5:$B$204,0)),""))</x:f>
      </x:c>
      <x:c r="K31" s="279" t="str">
        <x:f>IF($B31="","",IFERROR(INDEX('계약'!$L$5:$L$204,MATCH($B31,'계약'!$B$5:$B$204,0)),""))</x:f>
      </x:c>
      <x:c r="L31" s="279" t="str">
        <x:f>IF($B31="","",IFERROR(INDEX('수납'!$E$5:$E$204,MATCH($B31,'수납'!$B$5:$B$204,0)),0))</x:f>
      </x:c>
      <x:c r="M31" s="35" t="str">
        <x:f>IF($B31="","",IFERROR(INDEX('수납'!$D$5:$D$204,MATCH($B31,'수납'!$B$5:$B$204,0)),0))</x:f>
      </x:c>
      <x:c r="N31" s="35" t="str">
        <x:f>IF($B31="","",IFERROR(INDEX('계약'!$M$5:$M$204,MATCH($B31,'계약'!$B$5:$B$204,0)),""))</x:f>
      </x:c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"/>
      <x:c r="AA31" s="1"/>
      <x:c r="AB31" s="1"/>
      <x:c r="AC31" s="1"/>
      <x:c r="AD31" s="1"/>
      <x:c r="AE31" s="1"/>
    </x:row>
    <x:row r="32" ht="18" customHeight="1">
      <x:c r="A32" s="273" t="str">
        <x:f>IF(B32="","",28)</x:f>
      </x:c>
      <x:c r="B32" s="35" t="str">
        <x:f>IFERROR(INDEX('자산'!$B$5:$B$204,MATCH(28,'자산'!$Z$5:$Z$204,0)),"")</x:f>
      </x:c>
      <x:c r="C32" s="35" t="str">
        <x:f>IF($B32="","",IFERROR(INDEX('자산'!$C$5:$C$204,MATCH($B32,'자산'!$B$5:$B$204,0)),""))</x:f>
      </x:c>
      <x:c r="D32" s="273" t="str">
        <x:f>IF($B32="","",IFERROR(INDEX('자산'!$D$5:$D$204,MATCH($B32,'자산'!$B$5:$B$204,0)),""))</x:f>
      </x:c>
      <x:c r="E32" s="273" t="str">
        <x:f>IF(B32="","",IF(IF($B32="","",IFERROR(INDEX('계약'!$G$5:$G$204,MATCH($B32,'계약'!$B$5:$B$204,0)),""))&lt;&gt;"","대여중","쉬는차"))</x:f>
      </x:c>
      <x:c r="F32" s="35" t="str">
        <x:f>IF($B32="","",IFERROR(INDEX('계약'!$G$5:$G$204,MATCH($B32,'계약'!$B$5:$B$204,0)),""))</x:f>
      </x:c>
      <x:c r="G32" s="276" t="str">
        <x:f>IF($B32="","",IFERROR(INDEX('계약'!$H$5:$H$204,MATCH($B32,'계약'!$B$5:$B$204,0)),""))</x:f>
      </x:c>
      <x:c r="H32" s="276" t="str">
        <x:f>IF($B32="","",IFERROR(INDEX('계약'!$I$5:$I$204,MATCH($B32,'계약'!$B$5:$B$204,0)),""))</x:f>
      </x:c>
      <x:c r="I32" s="35" t="str">
        <x:f>IF(H32="","",IF(H32&lt;'요약'!$B$2,"만료",(YEAR(H32)-YEAR('요약'!$B$2))*12+MONTH(H32)-MONTH('요약'!$B$2)))</x:f>
      </x:c>
      <x:c r="J32" s="279" t="str">
        <x:f>IF($B32="","",IFERROR(INDEX('계약'!$K$5:$K$204,MATCH($B32,'계약'!$B$5:$B$204,0)),""))</x:f>
      </x:c>
      <x:c r="K32" s="279" t="str">
        <x:f>IF($B32="","",IFERROR(INDEX('계약'!$L$5:$L$204,MATCH($B32,'계약'!$B$5:$B$204,0)),""))</x:f>
      </x:c>
      <x:c r="L32" s="279" t="str">
        <x:f>IF($B32="","",IFERROR(INDEX('수납'!$E$5:$E$204,MATCH($B32,'수납'!$B$5:$B$204,0)),0))</x:f>
      </x:c>
      <x:c r="M32" s="35" t="str">
        <x:f>IF($B32="","",IFERROR(INDEX('수납'!$D$5:$D$204,MATCH($B32,'수납'!$B$5:$B$204,0)),0))</x:f>
      </x:c>
      <x:c r="N32" s="35" t="str">
        <x:f>IF($B32="","",IFERROR(INDEX('계약'!$M$5:$M$204,MATCH($B32,'계약'!$B$5:$B$204,0)),""))</x:f>
      </x:c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  <x:c r="AA32" s="1"/>
      <x:c r="AB32" s="1"/>
      <x:c r="AC32" s="1"/>
      <x:c r="AD32" s="1"/>
      <x:c r="AE32" s="1"/>
    </x:row>
    <x:row r="33" ht="18" customHeight="1">
      <x:c r="A33" s="273" t="str">
        <x:f>IF(B33="","",29)</x:f>
      </x:c>
      <x:c r="B33" s="35" t="str">
        <x:f>IFERROR(INDEX('자산'!$B$5:$B$204,MATCH(29,'자산'!$Z$5:$Z$204,0)),"")</x:f>
      </x:c>
      <x:c r="C33" s="35" t="str">
        <x:f>IF($B33="","",IFERROR(INDEX('자산'!$C$5:$C$204,MATCH($B33,'자산'!$B$5:$B$204,0)),""))</x:f>
      </x:c>
      <x:c r="D33" s="273" t="str">
        <x:f>IF($B33="","",IFERROR(INDEX('자산'!$D$5:$D$204,MATCH($B33,'자산'!$B$5:$B$204,0)),""))</x:f>
      </x:c>
      <x:c r="E33" s="273" t="str">
        <x:f>IF(B33="","",IF(IF($B33="","",IFERROR(INDEX('계약'!$G$5:$G$204,MATCH($B33,'계약'!$B$5:$B$204,0)),""))&lt;&gt;"","대여중","쉬는차"))</x:f>
      </x:c>
      <x:c r="F33" s="35" t="str">
        <x:f>IF($B33="","",IFERROR(INDEX('계약'!$G$5:$G$204,MATCH($B33,'계약'!$B$5:$B$204,0)),""))</x:f>
      </x:c>
      <x:c r="G33" s="276" t="str">
        <x:f>IF($B33="","",IFERROR(INDEX('계약'!$H$5:$H$204,MATCH($B33,'계약'!$B$5:$B$204,0)),""))</x:f>
      </x:c>
      <x:c r="H33" s="276" t="str">
        <x:f>IF($B33="","",IFERROR(INDEX('계약'!$I$5:$I$204,MATCH($B33,'계약'!$B$5:$B$204,0)),""))</x:f>
      </x:c>
      <x:c r="I33" s="35" t="str">
        <x:f>IF(H33="","",IF(H33&lt;'요약'!$B$2,"만료",(YEAR(H33)-YEAR('요약'!$B$2))*12+MONTH(H33)-MONTH('요약'!$B$2)))</x:f>
      </x:c>
      <x:c r="J33" s="279" t="str">
        <x:f>IF($B33="","",IFERROR(INDEX('계약'!$K$5:$K$204,MATCH($B33,'계약'!$B$5:$B$204,0)),""))</x:f>
      </x:c>
      <x:c r="K33" s="279" t="str">
        <x:f>IF($B33="","",IFERROR(INDEX('계약'!$L$5:$L$204,MATCH($B33,'계약'!$B$5:$B$204,0)),""))</x:f>
      </x:c>
      <x:c r="L33" s="279" t="str">
        <x:f>IF($B33="","",IFERROR(INDEX('수납'!$E$5:$E$204,MATCH($B33,'수납'!$B$5:$B$204,0)),0))</x:f>
      </x:c>
      <x:c r="M33" s="35" t="str">
        <x:f>IF($B33="","",IFERROR(INDEX('수납'!$D$5:$D$204,MATCH($B33,'수납'!$B$5:$B$204,0)),0))</x:f>
      </x:c>
      <x:c r="N33" s="35" t="str">
        <x:f>IF($B33="","",IFERROR(INDEX('계약'!$M$5:$M$204,MATCH($B33,'계약'!$B$5:$B$204,0)),""))</x:f>
      </x:c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"/>
      <x:c r="AA33" s="1"/>
      <x:c r="AB33" s="1"/>
      <x:c r="AC33" s="1"/>
      <x:c r="AD33" s="1"/>
      <x:c r="AE33" s="1"/>
    </x:row>
    <x:row r="34" ht="18" customHeight="1">
      <x:c r="A34" s="273" t="str">
        <x:f>IF(B34="","",30)</x:f>
      </x:c>
      <x:c r="B34" s="35" t="str">
        <x:f>IFERROR(INDEX('자산'!$B$5:$B$204,MATCH(30,'자산'!$Z$5:$Z$204,0)),"")</x:f>
      </x:c>
      <x:c r="C34" s="35" t="str">
        <x:f>IF($B34="","",IFERROR(INDEX('자산'!$C$5:$C$204,MATCH($B34,'자산'!$B$5:$B$204,0)),""))</x:f>
      </x:c>
      <x:c r="D34" s="273" t="str">
        <x:f>IF($B34="","",IFERROR(INDEX('자산'!$D$5:$D$204,MATCH($B34,'자산'!$B$5:$B$204,0)),""))</x:f>
      </x:c>
      <x:c r="E34" s="273" t="str">
        <x:f>IF(B34="","",IF(IF($B34="","",IFERROR(INDEX('계약'!$G$5:$G$204,MATCH($B34,'계약'!$B$5:$B$204,0)),""))&lt;&gt;"","대여중","쉬는차"))</x:f>
      </x:c>
      <x:c r="F34" s="35" t="str">
        <x:f>IF($B34="","",IFERROR(INDEX('계약'!$G$5:$G$204,MATCH($B34,'계약'!$B$5:$B$204,0)),""))</x:f>
      </x:c>
      <x:c r="G34" s="276" t="str">
        <x:f>IF($B34="","",IFERROR(INDEX('계약'!$H$5:$H$204,MATCH($B34,'계약'!$B$5:$B$204,0)),""))</x:f>
      </x:c>
      <x:c r="H34" s="276" t="str">
        <x:f>IF($B34="","",IFERROR(INDEX('계약'!$I$5:$I$204,MATCH($B34,'계약'!$B$5:$B$204,0)),""))</x:f>
      </x:c>
      <x:c r="I34" s="35" t="str">
        <x:f>IF(H34="","",IF(H34&lt;'요약'!$B$2,"만료",(YEAR(H34)-YEAR('요약'!$B$2))*12+MONTH(H34)-MONTH('요약'!$B$2)))</x:f>
      </x:c>
      <x:c r="J34" s="279" t="str">
        <x:f>IF($B34="","",IFERROR(INDEX('계약'!$K$5:$K$204,MATCH($B34,'계약'!$B$5:$B$204,0)),""))</x:f>
      </x:c>
      <x:c r="K34" s="279" t="str">
        <x:f>IF($B34="","",IFERROR(INDEX('계약'!$L$5:$L$204,MATCH($B34,'계약'!$B$5:$B$204,0)),""))</x:f>
      </x:c>
      <x:c r="L34" s="279" t="str">
        <x:f>IF($B34="","",IFERROR(INDEX('수납'!$E$5:$E$204,MATCH($B34,'수납'!$B$5:$B$204,0)),0))</x:f>
      </x:c>
      <x:c r="M34" s="35" t="str">
        <x:f>IF($B34="","",IFERROR(INDEX('수납'!$D$5:$D$204,MATCH($B34,'수납'!$B$5:$B$204,0)),0))</x:f>
      </x:c>
      <x:c r="N34" s="35" t="str">
        <x:f>IF($B34="","",IFERROR(INDEX('계약'!$M$5:$M$204,MATCH($B34,'계약'!$B$5:$B$204,0)),""))</x:f>
      </x:c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  <x:c r="AA34" s="1"/>
      <x:c r="AB34" s="1"/>
      <x:c r="AC34" s="1"/>
      <x:c r="AD34" s="1"/>
      <x:c r="AE34" s="1"/>
    </x:row>
    <x:row r="35" ht="18" customHeight="1">
      <x:c r="A35" s="273" t="str">
        <x:f>IF(B35="","",31)</x:f>
      </x:c>
      <x:c r="B35" s="35" t="str">
        <x:f>IFERROR(INDEX('자산'!$B$5:$B$204,MATCH(31,'자산'!$Z$5:$Z$204,0)),"")</x:f>
      </x:c>
      <x:c r="C35" s="35" t="str">
        <x:f>IF($B35="","",IFERROR(INDEX('자산'!$C$5:$C$204,MATCH($B35,'자산'!$B$5:$B$204,0)),""))</x:f>
      </x:c>
      <x:c r="D35" s="273" t="str">
        <x:f>IF($B35="","",IFERROR(INDEX('자산'!$D$5:$D$204,MATCH($B35,'자산'!$B$5:$B$204,0)),""))</x:f>
      </x:c>
      <x:c r="E35" s="273" t="str">
        <x:f>IF(B35="","",IF(IF($B35="","",IFERROR(INDEX('계약'!$G$5:$G$204,MATCH($B35,'계약'!$B$5:$B$204,0)),""))&lt;&gt;"","대여중","쉬는차"))</x:f>
      </x:c>
      <x:c r="F35" s="35" t="str">
        <x:f>IF($B35="","",IFERROR(INDEX('계약'!$G$5:$G$204,MATCH($B35,'계약'!$B$5:$B$204,0)),""))</x:f>
      </x:c>
      <x:c r="G35" s="276" t="str">
        <x:f>IF($B35="","",IFERROR(INDEX('계약'!$H$5:$H$204,MATCH($B35,'계약'!$B$5:$B$204,0)),""))</x:f>
      </x:c>
      <x:c r="H35" s="276" t="str">
        <x:f>IF($B35="","",IFERROR(INDEX('계약'!$I$5:$I$204,MATCH($B35,'계약'!$B$5:$B$204,0)),""))</x:f>
      </x:c>
      <x:c r="I35" s="35" t="str">
        <x:f>IF(H35="","",IF(H35&lt;'요약'!$B$2,"만료",(YEAR(H35)-YEAR('요약'!$B$2))*12+MONTH(H35)-MONTH('요약'!$B$2)))</x:f>
      </x:c>
      <x:c r="J35" s="279" t="str">
        <x:f>IF($B35="","",IFERROR(INDEX('계약'!$K$5:$K$204,MATCH($B35,'계약'!$B$5:$B$204,0)),""))</x:f>
      </x:c>
      <x:c r="K35" s="279" t="str">
        <x:f>IF($B35="","",IFERROR(INDEX('계약'!$L$5:$L$204,MATCH($B35,'계약'!$B$5:$B$204,0)),""))</x:f>
      </x:c>
      <x:c r="L35" s="279" t="str">
        <x:f>IF($B35="","",IFERROR(INDEX('수납'!$E$5:$E$204,MATCH($B35,'수납'!$B$5:$B$204,0)),0))</x:f>
      </x:c>
      <x:c r="M35" s="35" t="str">
        <x:f>IF($B35="","",IFERROR(INDEX('수납'!$D$5:$D$204,MATCH($B35,'수납'!$B$5:$B$204,0)),0))</x:f>
      </x:c>
      <x:c r="N35" s="35" t="str">
        <x:f>IF($B35="","",IFERROR(INDEX('계약'!$M$5:$M$204,MATCH($B35,'계약'!$B$5:$B$204,0)),""))</x:f>
      </x:c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  <x:c r="AA35" s="1"/>
      <x:c r="AB35" s="1"/>
      <x:c r="AC35" s="1"/>
      <x:c r="AD35" s="1"/>
      <x:c r="AE35" s="1"/>
    </x:row>
    <x:row r="36" ht="18" customHeight="1">
      <x:c r="A36" s="273" t="str">
        <x:f>IF(B36="","",32)</x:f>
      </x:c>
      <x:c r="B36" s="35" t="str">
        <x:f>IFERROR(INDEX('자산'!$B$5:$B$204,MATCH(32,'자산'!$Z$5:$Z$204,0)),"")</x:f>
      </x:c>
      <x:c r="C36" s="35" t="str">
        <x:f>IF($B36="","",IFERROR(INDEX('자산'!$C$5:$C$204,MATCH($B36,'자산'!$B$5:$B$204,0)),""))</x:f>
      </x:c>
      <x:c r="D36" s="273" t="str">
        <x:f>IF($B36="","",IFERROR(INDEX('자산'!$D$5:$D$204,MATCH($B36,'자산'!$B$5:$B$204,0)),""))</x:f>
      </x:c>
      <x:c r="E36" s="273" t="str">
        <x:f>IF(B36="","",IF(IF($B36="","",IFERROR(INDEX('계약'!$G$5:$G$204,MATCH($B36,'계약'!$B$5:$B$204,0)),""))&lt;&gt;"","대여중","쉬는차"))</x:f>
      </x:c>
      <x:c r="F36" s="35" t="str">
        <x:f>IF($B36="","",IFERROR(INDEX('계약'!$G$5:$G$204,MATCH($B36,'계약'!$B$5:$B$204,0)),""))</x:f>
      </x:c>
      <x:c r="G36" s="276" t="str">
        <x:f>IF($B36="","",IFERROR(INDEX('계약'!$H$5:$H$204,MATCH($B36,'계약'!$B$5:$B$204,0)),""))</x:f>
      </x:c>
      <x:c r="H36" s="276" t="str">
        <x:f>IF($B36="","",IFERROR(INDEX('계약'!$I$5:$I$204,MATCH($B36,'계약'!$B$5:$B$204,0)),""))</x:f>
      </x:c>
      <x:c r="I36" s="35" t="str">
        <x:f>IF(H36="","",IF(H36&lt;'요약'!$B$2,"만료",(YEAR(H36)-YEAR('요약'!$B$2))*12+MONTH(H36)-MONTH('요약'!$B$2)))</x:f>
      </x:c>
      <x:c r="J36" s="279" t="str">
        <x:f>IF($B36="","",IFERROR(INDEX('계약'!$K$5:$K$204,MATCH($B36,'계약'!$B$5:$B$204,0)),""))</x:f>
      </x:c>
      <x:c r="K36" s="279" t="str">
        <x:f>IF($B36="","",IFERROR(INDEX('계약'!$L$5:$L$204,MATCH($B36,'계약'!$B$5:$B$204,0)),""))</x:f>
      </x:c>
      <x:c r="L36" s="279" t="str">
        <x:f>IF($B36="","",IFERROR(INDEX('수납'!$E$5:$E$204,MATCH($B36,'수납'!$B$5:$B$204,0)),0))</x:f>
      </x:c>
      <x:c r="M36" s="35" t="str">
        <x:f>IF($B36="","",IFERROR(INDEX('수납'!$D$5:$D$204,MATCH($B36,'수납'!$B$5:$B$204,0)),0))</x:f>
      </x:c>
      <x:c r="N36" s="35" t="str">
        <x:f>IF($B36="","",IFERROR(INDEX('계약'!$M$5:$M$204,MATCH($B36,'계약'!$B$5:$B$204,0)),""))</x:f>
      </x:c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  <x:c r="AA36" s="1"/>
      <x:c r="AB36" s="1"/>
      <x:c r="AC36" s="1"/>
      <x:c r="AD36" s="1"/>
      <x:c r="AE36" s="1"/>
    </x:row>
    <x:row r="37" ht="18" customHeight="1">
      <x:c r="A37" s="273" t="str">
        <x:f>IF(B37="","",33)</x:f>
      </x:c>
      <x:c r="B37" s="35" t="str">
        <x:f>IFERROR(INDEX('자산'!$B$5:$B$204,MATCH(33,'자산'!$Z$5:$Z$204,0)),"")</x:f>
      </x:c>
      <x:c r="C37" s="35" t="str">
        <x:f>IF($B37="","",IFERROR(INDEX('자산'!$C$5:$C$204,MATCH($B37,'자산'!$B$5:$B$204,0)),""))</x:f>
      </x:c>
      <x:c r="D37" s="273" t="str">
        <x:f>IF($B37="","",IFERROR(INDEX('자산'!$D$5:$D$204,MATCH($B37,'자산'!$B$5:$B$204,0)),""))</x:f>
      </x:c>
      <x:c r="E37" s="273" t="str">
        <x:f>IF(B37="","",IF(IF($B37="","",IFERROR(INDEX('계약'!$G$5:$G$204,MATCH($B37,'계약'!$B$5:$B$204,0)),""))&lt;&gt;"","대여중","쉬는차"))</x:f>
      </x:c>
      <x:c r="F37" s="35" t="str">
        <x:f>IF($B37="","",IFERROR(INDEX('계약'!$G$5:$G$204,MATCH($B37,'계약'!$B$5:$B$204,0)),""))</x:f>
      </x:c>
      <x:c r="G37" s="276" t="str">
        <x:f>IF($B37="","",IFERROR(INDEX('계약'!$H$5:$H$204,MATCH($B37,'계약'!$B$5:$B$204,0)),""))</x:f>
      </x:c>
      <x:c r="H37" s="276" t="str">
        <x:f>IF($B37="","",IFERROR(INDEX('계약'!$I$5:$I$204,MATCH($B37,'계약'!$B$5:$B$204,0)),""))</x:f>
      </x:c>
      <x:c r="I37" s="35" t="str">
        <x:f>IF(H37="","",IF(H37&lt;'요약'!$B$2,"만료",(YEAR(H37)-YEAR('요약'!$B$2))*12+MONTH(H37)-MONTH('요약'!$B$2)))</x:f>
      </x:c>
      <x:c r="J37" s="279" t="str">
        <x:f>IF($B37="","",IFERROR(INDEX('계약'!$K$5:$K$204,MATCH($B37,'계약'!$B$5:$B$204,0)),""))</x:f>
      </x:c>
      <x:c r="K37" s="279" t="str">
        <x:f>IF($B37="","",IFERROR(INDEX('계약'!$L$5:$L$204,MATCH($B37,'계약'!$B$5:$B$204,0)),""))</x:f>
      </x:c>
      <x:c r="L37" s="279" t="str">
        <x:f>IF($B37="","",IFERROR(INDEX('수납'!$E$5:$E$204,MATCH($B37,'수납'!$B$5:$B$204,0)),0))</x:f>
      </x:c>
      <x:c r="M37" s="35" t="str">
        <x:f>IF($B37="","",IFERROR(INDEX('수납'!$D$5:$D$204,MATCH($B37,'수납'!$B$5:$B$204,0)),0))</x:f>
      </x:c>
      <x:c r="N37" s="35" t="str">
        <x:f>IF($B37="","",IFERROR(INDEX('계약'!$M$5:$M$204,MATCH($B37,'계약'!$B$5:$B$204,0)),""))</x:f>
      </x:c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  <x:c r="AA37" s="1"/>
      <x:c r="AB37" s="1"/>
      <x:c r="AC37" s="1"/>
      <x:c r="AD37" s="1"/>
      <x:c r="AE37" s="1"/>
    </x:row>
    <x:row r="38" ht="18" customHeight="1">
      <x:c r="A38" s="273" t="str">
        <x:f>IF(B38="","",34)</x:f>
      </x:c>
      <x:c r="B38" s="35" t="str">
        <x:f>IFERROR(INDEX('자산'!$B$5:$B$204,MATCH(34,'자산'!$Z$5:$Z$204,0)),"")</x:f>
      </x:c>
      <x:c r="C38" s="35" t="str">
        <x:f>IF($B38="","",IFERROR(INDEX('자산'!$C$5:$C$204,MATCH($B38,'자산'!$B$5:$B$204,0)),""))</x:f>
      </x:c>
      <x:c r="D38" s="273" t="str">
        <x:f>IF($B38="","",IFERROR(INDEX('자산'!$D$5:$D$204,MATCH($B38,'자산'!$B$5:$B$204,0)),""))</x:f>
      </x:c>
      <x:c r="E38" s="273" t="str">
        <x:f>IF(B38="","",IF(IF($B38="","",IFERROR(INDEX('계약'!$G$5:$G$204,MATCH($B38,'계약'!$B$5:$B$204,0)),""))&lt;&gt;"","대여중","쉬는차"))</x:f>
      </x:c>
      <x:c r="F38" s="35" t="str">
        <x:f>IF($B38="","",IFERROR(INDEX('계약'!$G$5:$G$204,MATCH($B38,'계약'!$B$5:$B$204,0)),""))</x:f>
      </x:c>
      <x:c r="G38" s="276" t="str">
        <x:f>IF($B38="","",IFERROR(INDEX('계약'!$H$5:$H$204,MATCH($B38,'계약'!$B$5:$B$204,0)),""))</x:f>
      </x:c>
      <x:c r="H38" s="276" t="str">
        <x:f>IF($B38="","",IFERROR(INDEX('계약'!$I$5:$I$204,MATCH($B38,'계약'!$B$5:$B$204,0)),""))</x:f>
      </x:c>
      <x:c r="I38" s="35" t="str">
        <x:f>IF(H38="","",IF(H38&lt;'요약'!$B$2,"만료",(YEAR(H38)-YEAR('요약'!$B$2))*12+MONTH(H38)-MONTH('요약'!$B$2)))</x:f>
      </x:c>
      <x:c r="J38" s="279" t="str">
        <x:f>IF($B38="","",IFERROR(INDEX('계약'!$K$5:$K$204,MATCH($B38,'계약'!$B$5:$B$204,0)),""))</x:f>
      </x:c>
      <x:c r="K38" s="279" t="str">
        <x:f>IF($B38="","",IFERROR(INDEX('계약'!$L$5:$L$204,MATCH($B38,'계약'!$B$5:$B$204,0)),""))</x:f>
      </x:c>
      <x:c r="L38" s="279" t="str">
        <x:f>IF($B38="","",IFERROR(INDEX('수납'!$E$5:$E$204,MATCH($B38,'수납'!$B$5:$B$204,0)),0))</x:f>
      </x:c>
      <x:c r="M38" s="35" t="str">
        <x:f>IF($B38="","",IFERROR(INDEX('수납'!$D$5:$D$204,MATCH($B38,'수납'!$B$5:$B$204,0)),0))</x:f>
      </x:c>
      <x:c r="N38" s="35" t="str">
        <x:f>IF($B38="","",IFERROR(INDEX('계약'!$M$5:$M$204,MATCH($B38,'계약'!$B$5:$B$204,0)),""))</x:f>
      </x:c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  <x:c r="AA38" s="1"/>
      <x:c r="AB38" s="1"/>
      <x:c r="AC38" s="1"/>
      <x:c r="AD38" s="1"/>
      <x:c r="AE38" s="1"/>
    </x:row>
    <x:row r="39" ht="18" customHeight="1">
      <x:c r="A39" s="273" t="str">
        <x:f>IF(B39="","",35)</x:f>
      </x:c>
      <x:c r="B39" s="35" t="str">
        <x:f>IFERROR(INDEX('자산'!$B$5:$B$204,MATCH(35,'자산'!$Z$5:$Z$204,0)),"")</x:f>
      </x:c>
      <x:c r="C39" s="35" t="str">
        <x:f>IF($B39="","",IFERROR(INDEX('자산'!$C$5:$C$204,MATCH($B39,'자산'!$B$5:$B$204,0)),""))</x:f>
      </x:c>
      <x:c r="D39" s="273" t="str">
        <x:f>IF($B39="","",IFERROR(INDEX('자산'!$D$5:$D$204,MATCH($B39,'자산'!$B$5:$B$204,0)),""))</x:f>
      </x:c>
      <x:c r="E39" s="273" t="str">
        <x:f>IF(B39="","",IF(IF($B39="","",IFERROR(INDEX('계약'!$G$5:$G$204,MATCH($B39,'계약'!$B$5:$B$204,0)),""))&lt;&gt;"","대여중","쉬는차"))</x:f>
      </x:c>
      <x:c r="F39" s="35" t="str">
        <x:f>IF($B39="","",IFERROR(INDEX('계약'!$G$5:$G$204,MATCH($B39,'계약'!$B$5:$B$204,0)),""))</x:f>
      </x:c>
      <x:c r="G39" s="276" t="str">
        <x:f>IF($B39="","",IFERROR(INDEX('계약'!$H$5:$H$204,MATCH($B39,'계약'!$B$5:$B$204,0)),""))</x:f>
      </x:c>
      <x:c r="H39" s="276" t="str">
        <x:f>IF($B39="","",IFERROR(INDEX('계약'!$I$5:$I$204,MATCH($B39,'계약'!$B$5:$B$204,0)),""))</x:f>
      </x:c>
      <x:c r="I39" s="35" t="str">
        <x:f>IF(H39="","",IF(H39&lt;'요약'!$B$2,"만료",(YEAR(H39)-YEAR('요약'!$B$2))*12+MONTH(H39)-MONTH('요약'!$B$2)))</x:f>
      </x:c>
      <x:c r="J39" s="279" t="str">
        <x:f>IF($B39="","",IFERROR(INDEX('계약'!$K$5:$K$204,MATCH($B39,'계약'!$B$5:$B$204,0)),""))</x:f>
      </x:c>
      <x:c r="K39" s="279" t="str">
        <x:f>IF($B39="","",IFERROR(INDEX('계약'!$L$5:$L$204,MATCH($B39,'계약'!$B$5:$B$204,0)),""))</x:f>
      </x:c>
      <x:c r="L39" s="279" t="str">
        <x:f>IF($B39="","",IFERROR(INDEX('수납'!$E$5:$E$204,MATCH($B39,'수납'!$B$5:$B$204,0)),0))</x:f>
      </x:c>
      <x:c r="M39" s="35" t="str">
        <x:f>IF($B39="","",IFERROR(INDEX('수납'!$D$5:$D$204,MATCH($B39,'수납'!$B$5:$B$204,0)),0))</x:f>
      </x:c>
      <x:c r="N39" s="35" t="str">
        <x:f>IF($B39="","",IFERROR(INDEX('계약'!$M$5:$M$204,MATCH($B39,'계약'!$B$5:$B$204,0)),""))</x:f>
      </x:c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  <x:c r="AA39" s="1"/>
      <x:c r="AB39" s="1"/>
      <x:c r="AC39" s="1"/>
      <x:c r="AD39" s="1"/>
      <x:c r="AE39" s="1"/>
    </x:row>
    <x:row r="40" ht="18" customHeight="1">
      <x:c r="A40" s="273" t="str">
        <x:f>IF(B40="","",36)</x:f>
      </x:c>
      <x:c r="B40" s="35" t="str">
        <x:f>IFERROR(INDEX('자산'!$B$5:$B$204,MATCH(36,'자산'!$Z$5:$Z$204,0)),"")</x:f>
      </x:c>
      <x:c r="C40" s="35" t="str">
        <x:f>IF($B40="","",IFERROR(INDEX('자산'!$C$5:$C$204,MATCH($B40,'자산'!$B$5:$B$204,0)),""))</x:f>
      </x:c>
      <x:c r="D40" s="273" t="str">
        <x:f>IF($B40="","",IFERROR(INDEX('자산'!$D$5:$D$204,MATCH($B40,'자산'!$B$5:$B$204,0)),""))</x:f>
      </x:c>
      <x:c r="E40" s="273" t="str">
        <x:f>IF(B40="","",IF(IF($B40="","",IFERROR(INDEX('계약'!$G$5:$G$204,MATCH($B40,'계약'!$B$5:$B$204,0)),""))&lt;&gt;"","대여중","쉬는차"))</x:f>
      </x:c>
      <x:c r="F40" s="35" t="str">
        <x:f>IF($B40="","",IFERROR(INDEX('계약'!$G$5:$G$204,MATCH($B40,'계약'!$B$5:$B$204,0)),""))</x:f>
      </x:c>
      <x:c r="G40" s="276" t="str">
        <x:f>IF($B40="","",IFERROR(INDEX('계약'!$H$5:$H$204,MATCH($B40,'계약'!$B$5:$B$204,0)),""))</x:f>
      </x:c>
      <x:c r="H40" s="276" t="str">
        <x:f>IF($B40="","",IFERROR(INDEX('계약'!$I$5:$I$204,MATCH($B40,'계약'!$B$5:$B$204,0)),""))</x:f>
      </x:c>
      <x:c r="I40" s="35" t="str">
        <x:f>IF(H40="","",IF(H40&lt;'요약'!$B$2,"만료",(YEAR(H40)-YEAR('요약'!$B$2))*12+MONTH(H40)-MONTH('요약'!$B$2)))</x:f>
      </x:c>
      <x:c r="J40" s="279" t="str">
        <x:f>IF($B40="","",IFERROR(INDEX('계약'!$K$5:$K$204,MATCH($B40,'계약'!$B$5:$B$204,0)),""))</x:f>
      </x:c>
      <x:c r="K40" s="279" t="str">
        <x:f>IF($B40="","",IFERROR(INDEX('계약'!$L$5:$L$204,MATCH($B40,'계약'!$B$5:$B$204,0)),""))</x:f>
      </x:c>
      <x:c r="L40" s="279" t="str">
        <x:f>IF($B40="","",IFERROR(INDEX('수납'!$E$5:$E$204,MATCH($B40,'수납'!$B$5:$B$204,0)),0))</x:f>
      </x:c>
      <x:c r="M40" s="35" t="str">
        <x:f>IF($B40="","",IFERROR(INDEX('수납'!$D$5:$D$204,MATCH($B40,'수납'!$B$5:$B$204,0)),0))</x:f>
      </x:c>
      <x:c r="N40" s="35" t="str">
        <x:f>IF($B40="","",IFERROR(INDEX('계약'!$M$5:$M$204,MATCH($B40,'계약'!$B$5:$B$204,0)),""))</x:f>
      </x:c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  <x:c r="AA40" s="1"/>
      <x:c r="AB40" s="1"/>
      <x:c r="AC40" s="1"/>
      <x:c r="AD40" s="1"/>
      <x:c r="AE40" s="1"/>
    </x:row>
    <x:row r="41" ht="18" customHeight="1">
      <x:c r="A41" s="273" t="str">
        <x:f>IF(B41="","",37)</x:f>
      </x:c>
      <x:c r="B41" s="35" t="str">
        <x:f>IFERROR(INDEX('자산'!$B$5:$B$204,MATCH(37,'자산'!$Z$5:$Z$204,0)),"")</x:f>
      </x:c>
      <x:c r="C41" s="35" t="str">
        <x:f>IF($B41="","",IFERROR(INDEX('자산'!$C$5:$C$204,MATCH($B41,'자산'!$B$5:$B$204,0)),""))</x:f>
      </x:c>
      <x:c r="D41" s="273" t="str">
        <x:f>IF($B41="","",IFERROR(INDEX('자산'!$D$5:$D$204,MATCH($B41,'자산'!$B$5:$B$204,0)),""))</x:f>
      </x:c>
      <x:c r="E41" s="273" t="str">
        <x:f>IF(B41="","",IF(IF($B41="","",IFERROR(INDEX('계약'!$G$5:$G$204,MATCH($B41,'계약'!$B$5:$B$204,0)),""))&lt;&gt;"","대여중","쉬는차"))</x:f>
      </x:c>
      <x:c r="F41" s="35" t="str">
        <x:f>IF($B41="","",IFERROR(INDEX('계약'!$G$5:$G$204,MATCH($B41,'계약'!$B$5:$B$204,0)),""))</x:f>
      </x:c>
      <x:c r="G41" s="276" t="str">
        <x:f>IF($B41="","",IFERROR(INDEX('계약'!$H$5:$H$204,MATCH($B41,'계약'!$B$5:$B$204,0)),""))</x:f>
      </x:c>
      <x:c r="H41" s="276" t="str">
        <x:f>IF($B41="","",IFERROR(INDEX('계약'!$I$5:$I$204,MATCH($B41,'계약'!$B$5:$B$204,0)),""))</x:f>
      </x:c>
      <x:c r="I41" s="35" t="str">
        <x:f>IF(H41="","",IF(H41&lt;'요약'!$B$2,"만료",(YEAR(H41)-YEAR('요약'!$B$2))*12+MONTH(H41)-MONTH('요약'!$B$2)))</x:f>
      </x:c>
      <x:c r="J41" s="279" t="str">
        <x:f>IF($B41="","",IFERROR(INDEX('계약'!$K$5:$K$204,MATCH($B41,'계약'!$B$5:$B$204,0)),""))</x:f>
      </x:c>
      <x:c r="K41" s="279" t="str">
        <x:f>IF($B41="","",IFERROR(INDEX('계약'!$L$5:$L$204,MATCH($B41,'계약'!$B$5:$B$204,0)),""))</x:f>
      </x:c>
      <x:c r="L41" s="279" t="str">
        <x:f>IF($B41="","",IFERROR(INDEX('수납'!$E$5:$E$204,MATCH($B41,'수납'!$B$5:$B$204,0)),0))</x:f>
      </x:c>
      <x:c r="M41" s="35" t="str">
        <x:f>IF($B41="","",IFERROR(INDEX('수납'!$D$5:$D$204,MATCH($B41,'수납'!$B$5:$B$204,0)),0))</x:f>
      </x:c>
      <x:c r="N41" s="35" t="str">
        <x:f>IF($B41="","",IFERROR(INDEX('계약'!$M$5:$M$204,MATCH($B41,'계약'!$B$5:$B$204,0)),""))</x:f>
      </x:c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  <x:c r="AA41" s="1"/>
      <x:c r="AB41" s="1"/>
      <x:c r="AC41" s="1"/>
      <x:c r="AD41" s="1"/>
      <x:c r="AE41" s="1"/>
    </x:row>
    <x:row r="42" ht="18" customHeight="1">
      <x:c r="A42" s="273" t="str">
        <x:f>IF(B42="","",38)</x:f>
      </x:c>
      <x:c r="B42" s="35" t="str">
        <x:f>IFERROR(INDEX('자산'!$B$5:$B$204,MATCH(38,'자산'!$Z$5:$Z$204,0)),"")</x:f>
      </x:c>
      <x:c r="C42" s="35" t="str">
        <x:f>IF($B42="","",IFERROR(INDEX('자산'!$C$5:$C$204,MATCH($B42,'자산'!$B$5:$B$204,0)),""))</x:f>
      </x:c>
      <x:c r="D42" s="273" t="str">
        <x:f>IF($B42="","",IFERROR(INDEX('자산'!$D$5:$D$204,MATCH($B42,'자산'!$B$5:$B$204,0)),""))</x:f>
      </x:c>
      <x:c r="E42" s="273" t="str">
        <x:f>IF(B42="","",IF(IF($B42="","",IFERROR(INDEX('계약'!$G$5:$G$204,MATCH($B42,'계약'!$B$5:$B$204,0)),""))&lt;&gt;"","대여중","쉬는차"))</x:f>
      </x:c>
      <x:c r="F42" s="35" t="str">
        <x:f>IF($B42="","",IFERROR(INDEX('계약'!$G$5:$G$204,MATCH($B42,'계약'!$B$5:$B$204,0)),""))</x:f>
      </x:c>
      <x:c r="G42" s="276" t="str">
        <x:f>IF($B42="","",IFERROR(INDEX('계약'!$H$5:$H$204,MATCH($B42,'계약'!$B$5:$B$204,0)),""))</x:f>
      </x:c>
      <x:c r="H42" s="276" t="str">
        <x:f>IF($B42="","",IFERROR(INDEX('계약'!$I$5:$I$204,MATCH($B42,'계약'!$B$5:$B$204,0)),""))</x:f>
      </x:c>
      <x:c r="I42" s="35" t="str">
        <x:f>IF(H42="","",IF(H42&lt;'요약'!$B$2,"만료",(YEAR(H42)-YEAR('요약'!$B$2))*12+MONTH(H42)-MONTH('요약'!$B$2)))</x:f>
      </x:c>
      <x:c r="J42" s="279" t="str">
        <x:f>IF($B42="","",IFERROR(INDEX('계약'!$K$5:$K$204,MATCH($B42,'계약'!$B$5:$B$204,0)),""))</x:f>
      </x:c>
      <x:c r="K42" s="279" t="str">
        <x:f>IF($B42="","",IFERROR(INDEX('계약'!$L$5:$L$204,MATCH($B42,'계약'!$B$5:$B$204,0)),""))</x:f>
      </x:c>
      <x:c r="L42" s="279" t="str">
        <x:f>IF($B42="","",IFERROR(INDEX('수납'!$E$5:$E$204,MATCH($B42,'수납'!$B$5:$B$204,0)),0))</x:f>
      </x:c>
      <x:c r="M42" s="35" t="str">
        <x:f>IF($B42="","",IFERROR(INDEX('수납'!$D$5:$D$204,MATCH($B42,'수납'!$B$5:$B$204,0)),0))</x:f>
      </x:c>
      <x:c r="N42" s="35" t="str">
        <x:f>IF($B42="","",IFERROR(INDEX('계약'!$M$5:$M$204,MATCH($B42,'계약'!$B$5:$B$204,0)),""))</x:f>
      </x:c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  <x:c r="AA42" s="1"/>
      <x:c r="AB42" s="1"/>
      <x:c r="AC42" s="1"/>
      <x:c r="AD42" s="1"/>
      <x:c r="AE42" s="1"/>
    </x:row>
    <x:row r="43" ht="18" customHeight="1">
      <x:c r="A43" s="273" t="str">
        <x:f>IF(B43="","",39)</x:f>
      </x:c>
      <x:c r="B43" s="35" t="str">
        <x:f>IFERROR(INDEX('자산'!$B$5:$B$204,MATCH(39,'자산'!$Z$5:$Z$204,0)),"")</x:f>
      </x:c>
      <x:c r="C43" s="35" t="str">
        <x:f>IF($B43="","",IFERROR(INDEX('자산'!$C$5:$C$204,MATCH($B43,'자산'!$B$5:$B$204,0)),""))</x:f>
      </x:c>
      <x:c r="D43" s="273" t="str">
        <x:f>IF($B43="","",IFERROR(INDEX('자산'!$D$5:$D$204,MATCH($B43,'자산'!$B$5:$B$204,0)),""))</x:f>
      </x:c>
      <x:c r="E43" s="273" t="str">
        <x:f>IF(B43="","",IF(IF($B43="","",IFERROR(INDEX('계약'!$G$5:$G$204,MATCH($B43,'계약'!$B$5:$B$204,0)),""))&lt;&gt;"","대여중","쉬는차"))</x:f>
      </x:c>
      <x:c r="F43" s="35" t="str">
        <x:f>IF($B43="","",IFERROR(INDEX('계약'!$G$5:$G$204,MATCH($B43,'계약'!$B$5:$B$204,0)),""))</x:f>
      </x:c>
      <x:c r="G43" s="276" t="str">
        <x:f>IF($B43="","",IFERROR(INDEX('계약'!$H$5:$H$204,MATCH($B43,'계약'!$B$5:$B$204,0)),""))</x:f>
      </x:c>
      <x:c r="H43" s="276" t="str">
        <x:f>IF($B43="","",IFERROR(INDEX('계약'!$I$5:$I$204,MATCH($B43,'계약'!$B$5:$B$204,0)),""))</x:f>
      </x:c>
      <x:c r="I43" s="35" t="str">
        <x:f>IF(H43="","",IF(H43&lt;'요약'!$B$2,"만료",(YEAR(H43)-YEAR('요약'!$B$2))*12+MONTH(H43)-MONTH('요약'!$B$2)))</x:f>
      </x:c>
      <x:c r="J43" s="279" t="str">
        <x:f>IF($B43="","",IFERROR(INDEX('계약'!$K$5:$K$204,MATCH($B43,'계약'!$B$5:$B$204,0)),""))</x:f>
      </x:c>
      <x:c r="K43" s="279" t="str">
        <x:f>IF($B43="","",IFERROR(INDEX('계약'!$L$5:$L$204,MATCH($B43,'계약'!$B$5:$B$204,0)),""))</x:f>
      </x:c>
      <x:c r="L43" s="279" t="str">
        <x:f>IF($B43="","",IFERROR(INDEX('수납'!$E$5:$E$204,MATCH($B43,'수납'!$B$5:$B$204,0)),0))</x:f>
      </x:c>
      <x:c r="M43" s="35" t="str">
        <x:f>IF($B43="","",IFERROR(INDEX('수납'!$D$5:$D$204,MATCH($B43,'수납'!$B$5:$B$204,0)),0))</x:f>
      </x:c>
      <x:c r="N43" s="35" t="str">
        <x:f>IF($B43="","",IFERROR(INDEX('계약'!$M$5:$M$204,MATCH($B43,'계약'!$B$5:$B$204,0)),""))</x:f>
      </x:c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  <x:c r="AA43" s="1"/>
      <x:c r="AB43" s="1"/>
      <x:c r="AC43" s="1"/>
      <x:c r="AD43" s="1"/>
      <x:c r="AE43" s="1"/>
    </x:row>
    <x:row r="44" ht="18" customHeight="1">
      <x:c r="A44" s="273" t="str">
        <x:f>IF(B44="","",40)</x:f>
      </x:c>
      <x:c r="B44" s="35" t="str">
        <x:f>IFERROR(INDEX('자산'!$B$5:$B$204,MATCH(40,'자산'!$Z$5:$Z$204,0)),"")</x:f>
      </x:c>
      <x:c r="C44" s="35" t="str">
        <x:f>IF($B44="","",IFERROR(INDEX('자산'!$C$5:$C$204,MATCH($B44,'자산'!$B$5:$B$204,0)),""))</x:f>
      </x:c>
      <x:c r="D44" s="273" t="str">
        <x:f>IF($B44="","",IFERROR(INDEX('자산'!$D$5:$D$204,MATCH($B44,'자산'!$B$5:$B$204,0)),""))</x:f>
      </x:c>
      <x:c r="E44" s="273" t="str">
        <x:f>IF(B44="","",IF(IF($B44="","",IFERROR(INDEX('계약'!$G$5:$G$204,MATCH($B44,'계약'!$B$5:$B$204,0)),""))&lt;&gt;"","대여중","쉬는차"))</x:f>
      </x:c>
      <x:c r="F44" s="35" t="str">
        <x:f>IF($B44="","",IFERROR(INDEX('계약'!$G$5:$G$204,MATCH($B44,'계약'!$B$5:$B$204,0)),""))</x:f>
      </x:c>
      <x:c r="G44" s="276" t="str">
        <x:f>IF($B44="","",IFERROR(INDEX('계약'!$H$5:$H$204,MATCH($B44,'계약'!$B$5:$B$204,0)),""))</x:f>
      </x:c>
      <x:c r="H44" s="276" t="str">
        <x:f>IF($B44="","",IFERROR(INDEX('계약'!$I$5:$I$204,MATCH($B44,'계약'!$B$5:$B$204,0)),""))</x:f>
      </x:c>
      <x:c r="I44" s="35" t="str">
        <x:f>IF(H44="","",IF(H44&lt;'요약'!$B$2,"만료",(YEAR(H44)-YEAR('요약'!$B$2))*12+MONTH(H44)-MONTH('요약'!$B$2)))</x:f>
      </x:c>
      <x:c r="J44" s="279" t="str">
        <x:f>IF($B44="","",IFERROR(INDEX('계약'!$K$5:$K$204,MATCH($B44,'계약'!$B$5:$B$204,0)),""))</x:f>
      </x:c>
      <x:c r="K44" s="279" t="str">
        <x:f>IF($B44="","",IFERROR(INDEX('계약'!$L$5:$L$204,MATCH($B44,'계약'!$B$5:$B$204,0)),""))</x:f>
      </x:c>
      <x:c r="L44" s="279" t="str">
        <x:f>IF($B44="","",IFERROR(INDEX('수납'!$E$5:$E$204,MATCH($B44,'수납'!$B$5:$B$204,0)),0))</x:f>
      </x:c>
      <x:c r="M44" s="35" t="str">
        <x:f>IF($B44="","",IFERROR(INDEX('수납'!$D$5:$D$204,MATCH($B44,'수납'!$B$5:$B$204,0)),0))</x:f>
      </x:c>
      <x:c r="N44" s="35" t="str">
        <x:f>IF($B44="","",IFERROR(INDEX('계약'!$M$5:$M$204,MATCH($B44,'계약'!$B$5:$B$204,0)),""))</x:f>
      </x:c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  <x:c r="AA44" s="1"/>
      <x:c r="AB44" s="1"/>
      <x:c r="AC44" s="1"/>
      <x:c r="AD44" s="1"/>
      <x:c r="AE44" s="1"/>
    </x:row>
    <x:row r="45" ht="18" customHeight="1">
      <x:c r="A45" s="273" t="str">
        <x:f>IF(B45="","",41)</x:f>
      </x:c>
      <x:c r="B45" s="35" t="str">
        <x:f>IFERROR(INDEX('자산'!$B$5:$B$204,MATCH(41,'자산'!$Z$5:$Z$204,0)),"")</x:f>
      </x:c>
      <x:c r="C45" s="35" t="str">
        <x:f>IF($B45="","",IFERROR(INDEX('자산'!$C$5:$C$204,MATCH($B45,'자산'!$B$5:$B$204,0)),""))</x:f>
      </x:c>
      <x:c r="D45" s="273" t="str">
        <x:f>IF($B45="","",IFERROR(INDEX('자산'!$D$5:$D$204,MATCH($B45,'자산'!$B$5:$B$204,0)),""))</x:f>
      </x:c>
      <x:c r="E45" s="273" t="str">
        <x:f>IF(B45="","",IF(IF($B45="","",IFERROR(INDEX('계약'!$G$5:$G$204,MATCH($B45,'계약'!$B$5:$B$204,0)),""))&lt;&gt;"","대여중","쉬는차"))</x:f>
      </x:c>
      <x:c r="F45" s="35" t="str">
        <x:f>IF($B45="","",IFERROR(INDEX('계약'!$G$5:$G$204,MATCH($B45,'계약'!$B$5:$B$204,0)),""))</x:f>
      </x:c>
      <x:c r="G45" s="276" t="str">
        <x:f>IF($B45="","",IFERROR(INDEX('계약'!$H$5:$H$204,MATCH($B45,'계약'!$B$5:$B$204,0)),""))</x:f>
      </x:c>
      <x:c r="H45" s="276" t="str">
        <x:f>IF($B45="","",IFERROR(INDEX('계약'!$I$5:$I$204,MATCH($B45,'계약'!$B$5:$B$204,0)),""))</x:f>
      </x:c>
      <x:c r="I45" s="35" t="str">
        <x:f>IF(H45="","",IF(H45&lt;'요약'!$B$2,"만료",(YEAR(H45)-YEAR('요약'!$B$2))*12+MONTH(H45)-MONTH('요약'!$B$2)))</x:f>
      </x:c>
      <x:c r="J45" s="279" t="str">
        <x:f>IF($B45="","",IFERROR(INDEX('계약'!$K$5:$K$204,MATCH($B45,'계약'!$B$5:$B$204,0)),""))</x:f>
      </x:c>
      <x:c r="K45" s="279" t="str">
        <x:f>IF($B45="","",IFERROR(INDEX('계약'!$L$5:$L$204,MATCH($B45,'계약'!$B$5:$B$204,0)),""))</x:f>
      </x:c>
      <x:c r="L45" s="279" t="str">
        <x:f>IF($B45="","",IFERROR(INDEX('수납'!$E$5:$E$204,MATCH($B45,'수납'!$B$5:$B$204,0)),0))</x:f>
      </x:c>
      <x:c r="M45" s="35" t="str">
        <x:f>IF($B45="","",IFERROR(INDEX('수납'!$D$5:$D$204,MATCH($B45,'수납'!$B$5:$B$204,0)),0))</x:f>
      </x:c>
      <x:c r="N45" s="35" t="str">
        <x:f>IF($B45="","",IFERROR(INDEX('계약'!$M$5:$M$204,MATCH($B45,'계약'!$B$5:$B$204,0)),""))</x:f>
      </x:c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  <x:c r="AA45" s="1"/>
      <x:c r="AB45" s="1"/>
      <x:c r="AC45" s="1"/>
      <x:c r="AD45" s="1"/>
      <x:c r="AE45" s="1"/>
    </x:row>
    <x:row r="46" ht="18" customHeight="1">
      <x:c r="A46" s="273" t="str">
        <x:f>IF(B46="","",42)</x:f>
      </x:c>
      <x:c r="B46" s="35" t="str">
        <x:f>IFERROR(INDEX('자산'!$B$5:$B$204,MATCH(42,'자산'!$Z$5:$Z$204,0)),"")</x:f>
      </x:c>
      <x:c r="C46" s="35" t="str">
        <x:f>IF($B46="","",IFERROR(INDEX('자산'!$C$5:$C$204,MATCH($B46,'자산'!$B$5:$B$204,0)),""))</x:f>
      </x:c>
      <x:c r="D46" s="273" t="str">
        <x:f>IF($B46="","",IFERROR(INDEX('자산'!$D$5:$D$204,MATCH($B46,'자산'!$B$5:$B$204,0)),""))</x:f>
      </x:c>
      <x:c r="E46" s="273" t="str">
        <x:f>IF(B46="","",IF(IF($B46="","",IFERROR(INDEX('계약'!$G$5:$G$204,MATCH($B46,'계약'!$B$5:$B$204,0)),""))&lt;&gt;"","대여중","쉬는차"))</x:f>
      </x:c>
      <x:c r="F46" s="35" t="str">
        <x:f>IF($B46="","",IFERROR(INDEX('계약'!$G$5:$G$204,MATCH($B46,'계약'!$B$5:$B$204,0)),""))</x:f>
      </x:c>
      <x:c r="G46" s="276" t="str">
        <x:f>IF($B46="","",IFERROR(INDEX('계약'!$H$5:$H$204,MATCH($B46,'계약'!$B$5:$B$204,0)),""))</x:f>
      </x:c>
      <x:c r="H46" s="276" t="str">
        <x:f>IF($B46="","",IFERROR(INDEX('계약'!$I$5:$I$204,MATCH($B46,'계약'!$B$5:$B$204,0)),""))</x:f>
      </x:c>
      <x:c r="I46" s="35" t="str">
        <x:f>IF(H46="","",IF(H46&lt;'요약'!$B$2,"만료",(YEAR(H46)-YEAR('요약'!$B$2))*12+MONTH(H46)-MONTH('요약'!$B$2)))</x:f>
      </x:c>
      <x:c r="J46" s="279" t="str">
        <x:f>IF($B46="","",IFERROR(INDEX('계약'!$K$5:$K$204,MATCH($B46,'계약'!$B$5:$B$204,0)),""))</x:f>
      </x:c>
      <x:c r="K46" s="279" t="str">
        <x:f>IF($B46="","",IFERROR(INDEX('계약'!$L$5:$L$204,MATCH($B46,'계약'!$B$5:$B$204,0)),""))</x:f>
      </x:c>
      <x:c r="L46" s="279" t="str">
        <x:f>IF($B46="","",IFERROR(INDEX('수납'!$E$5:$E$204,MATCH($B46,'수납'!$B$5:$B$204,0)),0))</x:f>
      </x:c>
      <x:c r="M46" s="35" t="str">
        <x:f>IF($B46="","",IFERROR(INDEX('수납'!$D$5:$D$204,MATCH($B46,'수납'!$B$5:$B$204,0)),0))</x:f>
      </x:c>
      <x:c r="N46" s="35" t="str">
        <x:f>IF($B46="","",IFERROR(INDEX('계약'!$M$5:$M$204,MATCH($B46,'계약'!$B$5:$B$204,0)),""))</x:f>
      </x:c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  <x:c r="AA46" s="1"/>
      <x:c r="AB46" s="1"/>
      <x:c r="AC46" s="1"/>
      <x:c r="AD46" s="1"/>
      <x:c r="AE46" s="1"/>
    </x:row>
    <x:row r="47" ht="18" customHeight="1">
      <x:c r="A47" s="273" t="str">
        <x:f>IF(B47="","",43)</x:f>
      </x:c>
      <x:c r="B47" s="35" t="str">
        <x:f>IFERROR(INDEX('자산'!$B$5:$B$204,MATCH(43,'자산'!$Z$5:$Z$204,0)),"")</x:f>
      </x:c>
      <x:c r="C47" s="35" t="str">
        <x:f>IF($B47="","",IFERROR(INDEX('자산'!$C$5:$C$204,MATCH($B47,'자산'!$B$5:$B$204,0)),""))</x:f>
      </x:c>
      <x:c r="D47" s="273" t="str">
        <x:f>IF($B47="","",IFERROR(INDEX('자산'!$D$5:$D$204,MATCH($B47,'자산'!$B$5:$B$204,0)),""))</x:f>
      </x:c>
      <x:c r="E47" s="273" t="str">
        <x:f>IF(B47="","",IF(IF($B47="","",IFERROR(INDEX('계약'!$G$5:$G$204,MATCH($B47,'계약'!$B$5:$B$204,0)),""))&lt;&gt;"","대여중","쉬는차"))</x:f>
      </x:c>
      <x:c r="F47" s="35" t="str">
        <x:f>IF($B47="","",IFERROR(INDEX('계약'!$G$5:$G$204,MATCH($B47,'계약'!$B$5:$B$204,0)),""))</x:f>
      </x:c>
      <x:c r="G47" s="276" t="str">
        <x:f>IF($B47="","",IFERROR(INDEX('계약'!$H$5:$H$204,MATCH($B47,'계약'!$B$5:$B$204,0)),""))</x:f>
      </x:c>
      <x:c r="H47" s="276" t="str">
        <x:f>IF($B47="","",IFERROR(INDEX('계약'!$I$5:$I$204,MATCH($B47,'계약'!$B$5:$B$204,0)),""))</x:f>
      </x:c>
      <x:c r="I47" s="35" t="str">
        <x:f>IF(H47="","",IF(H47&lt;'요약'!$B$2,"만료",(YEAR(H47)-YEAR('요약'!$B$2))*12+MONTH(H47)-MONTH('요약'!$B$2)))</x:f>
      </x:c>
      <x:c r="J47" s="279" t="str">
        <x:f>IF($B47="","",IFERROR(INDEX('계약'!$K$5:$K$204,MATCH($B47,'계약'!$B$5:$B$204,0)),""))</x:f>
      </x:c>
      <x:c r="K47" s="279" t="str">
        <x:f>IF($B47="","",IFERROR(INDEX('계약'!$L$5:$L$204,MATCH($B47,'계약'!$B$5:$B$204,0)),""))</x:f>
      </x:c>
      <x:c r="L47" s="279" t="str">
        <x:f>IF($B47="","",IFERROR(INDEX('수납'!$E$5:$E$204,MATCH($B47,'수납'!$B$5:$B$204,0)),0))</x:f>
      </x:c>
      <x:c r="M47" s="35" t="str">
        <x:f>IF($B47="","",IFERROR(INDEX('수납'!$D$5:$D$204,MATCH($B47,'수납'!$B$5:$B$204,0)),0))</x:f>
      </x:c>
      <x:c r="N47" s="35" t="str">
        <x:f>IF($B47="","",IFERROR(INDEX('계약'!$M$5:$M$204,MATCH($B47,'계약'!$B$5:$B$204,0)),""))</x:f>
      </x:c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  <x:c r="AA47" s="1"/>
      <x:c r="AB47" s="1"/>
      <x:c r="AC47" s="1"/>
      <x:c r="AD47" s="1"/>
      <x:c r="AE47" s="1"/>
    </x:row>
    <x:row r="48" ht="18" customHeight="1">
      <x:c r="A48" s="273" t="str">
        <x:f>IF(B48="","",44)</x:f>
      </x:c>
      <x:c r="B48" s="35" t="str">
        <x:f>IFERROR(INDEX('자산'!$B$5:$B$204,MATCH(44,'자산'!$Z$5:$Z$204,0)),"")</x:f>
      </x:c>
      <x:c r="C48" s="35" t="str">
        <x:f>IF($B48="","",IFERROR(INDEX('자산'!$C$5:$C$204,MATCH($B48,'자산'!$B$5:$B$204,0)),""))</x:f>
      </x:c>
      <x:c r="D48" s="273" t="str">
        <x:f>IF($B48="","",IFERROR(INDEX('자산'!$D$5:$D$204,MATCH($B48,'자산'!$B$5:$B$204,0)),""))</x:f>
      </x:c>
      <x:c r="E48" s="273" t="str">
        <x:f>IF(B48="","",IF(IF($B48="","",IFERROR(INDEX('계약'!$G$5:$G$204,MATCH($B48,'계약'!$B$5:$B$204,0)),""))&lt;&gt;"","대여중","쉬는차"))</x:f>
      </x:c>
      <x:c r="F48" s="35" t="str">
        <x:f>IF($B48="","",IFERROR(INDEX('계약'!$G$5:$G$204,MATCH($B48,'계약'!$B$5:$B$204,0)),""))</x:f>
      </x:c>
      <x:c r="G48" s="276" t="str">
        <x:f>IF($B48="","",IFERROR(INDEX('계약'!$H$5:$H$204,MATCH($B48,'계약'!$B$5:$B$204,0)),""))</x:f>
      </x:c>
      <x:c r="H48" s="276" t="str">
        <x:f>IF($B48="","",IFERROR(INDEX('계약'!$I$5:$I$204,MATCH($B48,'계약'!$B$5:$B$204,0)),""))</x:f>
      </x:c>
      <x:c r="I48" s="35" t="str">
        <x:f>IF(H48="","",IF(H48&lt;'요약'!$B$2,"만료",(YEAR(H48)-YEAR('요약'!$B$2))*12+MONTH(H48)-MONTH('요약'!$B$2)))</x:f>
      </x:c>
      <x:c r="J48" s="279" t="str">
        <x:f>IF($B48="","",IFERROR(INDEX('계약'!$K$5:$K$204,MATCH($B48,'계약'!$B$5:$B$204,0)),""))</x:f>
      </x:c>
      <x:c r="K48" s="279" t="str">
        <x:f>IF($B48="","",IFERROR(INDEX('계약'!$L$5:$L$204,MATCH($B48,'계약'!$B$5:$B$204,0)),""))</x:f>
      </x:c>
      <x:c r="L48" s="279" t="str">
        <x:f>IF($B48="","",IFERROR(INDEX('수납'!$E$5:$E$204,MATCH($B48,'수납'!$B$5:$B$204,0)),0))</x:f>
      </x:c>
      <x:c r="M48" s="35" t="str">
        <x:f>IF($B48="","",IFERROR(INDEX('수납'!$D$5:$D$204,MATCH($B48,'수납'!$B$5:$B$204,0)),0))</x:f>
      </x:c>
      <x:c r="N48" s="35" t="str">
        <x:f>IF($B48="","",IFERROR(INDEX('계약'!$M$5:$M$204,MATCH($B48,'계약'!$B$5:$B$204,0)),""))</x:f>
      </x:c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  <x:c r="AA48" s="1"/>
      <x:c r="AB48" s="1"/>
      <x:c r="AC48" s="1"/>
      <x:c r="AD48" s="1"/>
      <x:c r="AE48" s="1"/>
    </x:row>
    <x:row r="49" ht="18" customHeight="1">
      <x:c r="A49" s="273" t="str">
        <x:f>IF(B49="","",45)</x:f>
      </x:c>
      <x:c r="B49" s="35" t="str">
        <x:f>IFERROR(INDEX('자산'!$B$5:$B$204,MATCH(45,'자산'!$Z$5:$Z$204,0)),"")</x:f>
      </x:c>
      <x:c r="C49" s="35" t="str">
        <x:f>IF($B49="","",IFERROR(INDEX('자산'!$C$5:$C$204,MATCH($B49,'자산'!$B$5:$B$204,0)),""))</x:f>
      </x:c>
      <x:c r="D49" s="273" t="str">
        <x:f>IF($B49="","",IFERROR(INDEX('자산'!$D$5:$D$204,MATCH($B49,'자산'!$B$5:$B$204,0)),""))</x:f>
      </x:c>
      <x:c r="E49" s="273" t="str">
        <x:f>IF(B49="","",IF(IF($B49="","",IFERROR(INDEX('계약'!$G$5:$G$204,MATCH($B49,'계약'!$B$5:$B$204,0)),""))&lt;&gt;"","대여중","쉬는차"))</x:f>
      </x:c>
      <x:c r="F49" s="35" t="str">
        <x:f>IF($B49="","",IFERROR(INDEX('계약'!$G$5:$G$204,MATCH($B49,'계약'!$B$5:$B$204,0)),""))</x:f>
      </x:c>
      <x:c r="G49" s="276" t="str">
        <x:f>IF($B49="","",IFERROR(INDEX('계약'!$H$5:$H$204,MATCH($B49,'계약'!$B$5:$B$204,0)),""))</x:f>
      </x:c>
      <x:c r="H49" s="276" t="str">
        <x:f>IF($B49="","",IFERROR(INDEX('계약'!$I$5:$I$204,MATCH($B49,'계약'!$B$5:$B$204,0)),""))</x:f>
      </x:c>
      <x:c r="I49" s="35" t="str">
        <x:f>IF(H49="","",IF(H49&lt;'요약'!$B$2,"만료",(YEAR(H49)-YEAR('요약'!$B$2))*12+MONTH(H49)-MONTH('요약'!$B$2)))</x:f>
      </x:c>
      <x:c r="J49" s="279" t="str">
        <x:f>IF($B49="","",IFERROR(INDEX('계약'!$K$5:$K$204,MATCH($B49,'계약'!$B$5:$B$204,0)),""))</x:f>
      </x:c>
      <x:c r="K49" s="279" t="str">
        <x:f>IF($B49="","",IFERROR(INDEX('계약'!$L$5:$L$204,MATCH($B49,'계약'!$B$5:$B$204,0)),""))</x:f>
      </x:c>
      <x:c r="L49" s="279" t="str">
        <x:f>IF($B49="","",IFERROR(INDEX('수납'!$E$5:$E$204,MATCH($B49,'수납'!$B$5:$B$204,0)),0))</x:f>
      </x:c>
      <x:c r="M49" s="35" t="str">
        <x:f>IF($B49="","",IFERROR(INDEX('수납'!$D$5:$D$204,MATCH($B49,'수납'!$B$5:$B$204,0)),0))</x:f>
      </x:c>
      <x:c r="N49" s="35" t="str">
        <x:f>IF($B49="","",IFERROR(INDEX('계약'!$M$5:$M$204,MATCH($B49,'계약'!$B$5:$B$204,0)),""))</x:f>
      </x:c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  <x:c r="AA49" s="1"/>
      <x:c r="AB49" s="1"/>
      <x:c r="AC49" s="1"/>
      <x:c r="AD49" s="1"/>
      <x:c r="AE49" s="1"/>
    </x:row>
    <x:row r="50" ht="18" customHeight="1">
      <x:c r="A50" s="273" t="str">
        <x:f>IF(B50="","",46)</x:f>
      </x:c>
      <x:c r="B50" s="35" t="str">
        <x:f>IFERROR(INDEX('자산'!$B$5:$B$204,MATCH(46,'자산'!$Z$5:$Z$204,0)),"")</x:f>
      </x:c>
      <x:c r="C50" s="35" t="str">
        <x:f>IF($B50="","",IFERROR(INDEX('자산'!$C$5:$C$204,MATCH($B50,'자산'!$B$5:$B$204,0)),""))</x:f>
      </x:c>
      <x:c r="D50" s="273" t="str">
        <x:f>IF($B50="","",IFERROR(INDEX('자산'!$D$5:$D$204,MATCH($B50,'자산'!$B$5:$B$204,0)),""))</x:f>
      </x:c>
      <x:c r="E50" s="273" t="str">
        <x:f>IF(B50="","",IF(IF($B50="","",IFERROR(INDEX('계약'!$G$5:$G$204,MATCH($B50,'계약'!$B$5:$B$204,0)),""))&lt;&gt;"","대여중","쉬는차"))</x:f>
      </x:c>
      <x:c r="F50" s="35" t="str">
        <x:f>IF($B50="","",IFERROR(INDEX('계약'!$G$5:$G$204,MATCH($B50,'계약'!$B$5:$B$204,0)),""))</x:f>
      </x:c>
      <x:c r="G50" s="276" t="str">
        <x:f>IF($B50="","",IFERROR(INDEX('계약'!$H$5:$H$204,MATCH($B50,'계약'!$B$5:$B$204,0)),""))</x:f>
      </x:c>
      <x:c r="H50" s="276" t="str">
        <x:f>IF($B50="","",IFERROR(INDEX('계약'!$I$5:$I$204,MATCH($B50,'계약'!$B$5:$B$204,0)),""))</x:f>
      </x:c>
      <x:c r="I50" s="35" t="str">
        <x:f>IF(H50="","",IF(H50&lt;'요약'!$B$2,"만료",(YEAR(H50)-YEAR('요약'!$B$2))*12+MONTH(H50)-MONTH('요약'!$B$2)))</x:f>
      </x:c>
      <x:c r="J50" s="279" t="str">
        <x:f>IF($B50="","",IFERROR(INDEX('계약'!$K$5:$K$204,MATCH($B50,'계약'!$B$5:$B$204,0)),""))</x:f>
      </x:c>
      <x:c r="K50" s="279" t="str">
        <x:f>IF($B50="","",IFERROR(INDEX('계약'!$L$5:$L$204,MATCH($B50,'계약'!$B$5:$B$204,0)),""))</x:f>
      </x:c>
      <x:c r="L50" s="279" t="str">
        <x:f>IF($B50="","",IFERROR(INDEX('수납'!$E$5:$E$204,MATCH($B50,'수납'!$B$5:$B$204,0)),0))</x:f>
      </x:c>
      <x:c r="M50" s="35" t="str">
        <x:f>IF($B50="","",IFERROR(INDEX('수납'!$D$5:$D$204,MATCH($B50,'수납'!$B$5:$B$204,0)),0))</x:f>
      </x:c>
      <x:c r="N50" s="35" t="str">
        <x:f>IF($B50="","",IFERROR(INDEX('계약'!$M$5:$M$204,MATCH($B50,'계약'!$B$5:$B$204,0)),""))</x:f>
      </x:c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  <x:c r="AA50" s="1"/>
      <x:c r="AB50" s="1"/>
      <x:c r="AC50" s="1"/>
      <x:c r="AD50" s="1"/>
      <x:c r="AE50" s="1"/>
    </x:row>
    <x:row r="51" ht="18" customHeight="1">
      <x:c r="A51" s="273" t="str">
        <x:f>IF(B51="","",47)</x:f>
      </x:c>
      <x:c r="B51" s="35" t="str">
        <x:f>IFERROR(INDEX('자산'!$B$5:$B$204,MATCH(47,'자산'!$Z$5:$Z$204,0)),"")</x:f>
      </x:c>
      <x:c r="C51" s="35" t="str">
        <x:f>IF($B51="","",IFERROR(INDEX('자산'!$C$5:$C$204,MATCH($B51,'자산'!$B$5:$B$204,0)),""))</x:f>
      </x:c>
      <x:c r="D51" s="273" t="str">
        <x:f>IF($B51="","",IFERROR(INDEX('자산'!$D$5:$D$204,MATCH($B51,'자산'!$B$5:$B$204,0)),""))</x:f>
      </x:c>
      <x:c r="E51" s="273" t="str">
        <x:f>IF(B51="","",IF(IF($B51="","",IFERROR(INDEX('계약'!$G$5:$G$204,MATCH($B51,'계약'!$B$5:$B$204,0)),""))&lt;&gt;"","대여중","쉬는차"))</x:f>
      </x:c>
      <x:c r="F51" s="35" t="str">
        <x:f>IF($B51="","",IFERROR(INDEX('계약'!$G$5:$G$204,MATCH($B51,'계약'!$B$5:$B$204,0)),""))</x:f>
      </x:c>
      <x:c r="G51" s="276" t="str">
        <x:f>IF($B51="","",IFERROR(INDEX('계약'!$H$5:$H$204,MATCH($B51,'계약'!$B$5:$B$204,0)),""))</x:f>
      </x:c>
      <x:c r="H51" s="276" t="str">
        <x:f>IF($B51="","",IFERROR(INDEX('계약'!$I$5:$I$204,MATCH($B51,'계약'!$B$5:$B$204,0)),""))</x:f>
      </x:c>
      <x:c r="I51" s="35" t="str">
        <x:f>IF(H51="","",IF(H51&lt;'요약'!$B$2,"만료",(YEAR(H51)-YEAR('요약'!$B$2))*12+MONTH(H51)-MONTH('요약'!$B$2)))</x:f>
      </x:c>
      <x:c r="J51" s="279" t="str">
        <x:f>IF($B51="","",IFERROR(INDEX('계약'!$K$5:$K$204,MATCH($B51,'계약'!$B$5:$B$204,0)),""))</x:f>
      </x:c>
      <x:c r="K51" s="279" t="str">
        <x:f>IF($B51="","",IFERROR(INDEX('계약'!$L$5:$L$204,MATCH($B51,'계약'!$B$5:$B$204,0)),""))</x:f>
      </x:c>
      <x:c r="L51" s="279" t="str">
        <x:f>IF($B51="","",IFERROR(INDEX('수납'!$E$5:$E$204,MATCH($B51,'수납'!$B$5:$B$204,0)),0))</x:f>
      </x:c>
      <x:c r="M51" s="35" t="str">
        <x:f>IF($B51="","",IFERROR(INDEX('수납'!$D$5:$D$204,MATCH($B51,'수납'!$B$5:$B$204,0)),0))</x:f>
      </x:c>
      <x:c r="N51" s="35" t="str">
        <x:f>IF($B51="","",IFERROR(INDEX('계약'!$M$5:$M$204,MATCH($B51,'계약'!$B$5:$B$204,0)),""))</x:f>
      </x:c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  <x:c r="AA51" s="1"/>
      <x:c r="AB51" s="1"/>
      <x:c r="AC51" s="1"/>
      <x:c r="AD51" s="1"/>
      <x:c r="AE51" s="1"/>
    </x:row>
    <x:row r="52" ht="18" customHeight="1">
      <x:c r="A52" s="273" t="str">
        <x:f>IF(B52="","",48)</x:f>
      </x:c>
      <x:c r="B52" s="35" t="str">
        <x:f>IFERROR(INDEX('자산'!$B$5:$B$204,MATCH(48,'자산'!$Z$5:$Z$204,0)),"")</x:f>
      </x:c>
      <x:c r="C52" s="35" t="str">
        <x:f>IF($B52="","",IFERROR(INDEX('자산'!$C$5:$C$204,MATCH($B52,'자산'!$B$5:$B$204,0)),""))</x:f>
      </x:c>
      <x:c r="D52" s="273" t="str">
        <x:f>IF($B52="","",IFERROR(INDEX('자산'!$D$5:$D$204,MATCH($B52,'자산'!$B$5:$B$204,0)),""))</x:f>
      </x:c>
      <x:c r="E52" s="273" t="str">
        <x:f>IF(B52="","",IF(IF($B52="","",IFERROR(INDEX('계약'!$G$5:$G$204,MATCH($B52,'계약'!$B$5:$B$204,0)),""))&lt;&gt;"","대여중","쉬는차"))</x:f>
      </x:c>
      <x:c r="F52" s="35" t="str">
        <x:f>IF($B52="","",IFERROR(INDEX('계약'!$G$5:$G$204,MATCH($B52,'계약'!$B$5:$B$204,0)),""))</x:f>
      </x:c>
      <x:c r="G52" s="276" t="str">
        <x:f>IF($B52="","",IFERROR(INDEX('계약'!$H$5:$H$204,MATCH($B52,'계약'!$B$5:$B$204,0)),""))</x:f>
      </x:c>
      <x:c r="H52" s="276" t="str">
        <x:f>IF($B52="","",IFERROR(INDEX('계약'!$I$5:$I$204,MATCH($B52,'계약'!$B$5:$B$204,0)),""))</x:f>
      </x:c>
      <x:c r="I52" s="35" t="str">
        <x:f>IF(H52="","",IF(H52&lt;'요약'!$B$2,"만료",(YEAR(H52)-YEAR('요약'!$B$2))*12+MONTH(H52)-MONTH('요약'!$B$2)))</x:f>
      </x:c>
      <x:c r="J52" s="279" t="str">
        <x:f>IF($B52="","",IFERROR(INDEX('계약'!$K$5:$K$204,MATCH($B52,'계약'!$B$5:$B$204,0)),""))</x:f>
      </x:c>
      <x:c r="K52" s="279" t="str">
        <x:f>IF($B52="","",IFERROR(INDEX('계약'!$L$5:$L$204,MATCH($B52,'계약'!$B$5:$B$204,0)),""))</x:f>
      </x:c>
      <x:c r="L52" s="279" t="str">
        <x:f>IF($B52="","",IFERROR(INDEX('수납'!$E$5:$E$204,MATCH($B52,'수납'!$B$5:$B$204,0)),0))</x:f>
      </x:c>
      <x:c r="M52" s="35" t="str">
        <x:f>IF($B52="","",IFERROR(INDEX('수납'!$D$5:$D$204,MATCH($B52,'수납'!$B$5:$B$204,0)),0))</x:f>
      </x:c>
      <x:c r="N52" s="35" t="str">
        <x:f>IF($B52="","",IFERROR(INDEX('계약'!$M$5:$M$204,MATCH($B52,'계약'!$B$5:$B$204,0)),""))</x:f>
      </x:c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  <x:c r="AA52" s="1"/>
      <x:c r="AB52" s="1"/>
      <x:c r="AC52" s="1"/>
      <x:c r="AD52" s="1"/>
      <x:c r="AE52" s="1"/>
    </x:row>
    <x:row r="53" ht="18" customHeight="1">
      <x:c r="A53" s="273" t="str">
        <x:f>IF(B53="","",49)</x:f>
      </x:c>
      <x:c r="B53" s="35" t="str">
        <x:f>IFERROR(INDEX('자산'!$B$5:$B$204,MATCH(49,'자산'!$Z$5:$Z$204,0)),"")</x:f>
      </x:c>
      <x:c r="C53" s="35" t="str">
        <x:f>IF($B53="","",IFERROR(INDEX('자산'!$C$5:$C$204,MATCH($B53,'자산'!$B$5:$B$204,0)),""))</x:f>
      </x:c>
      <x:c r="D53" s="273" t="str">
        <x:f>IF($B53="","",IFERROR(INDEX('자산'!$D$5:$D$204,MATCH($B53,'자산'!$B$5:$B$204,0)),""))</x:f>
      </x:c>
      <x:c r="E53" s="273" t="str">
        <x:f>IF(B53="","",IF(IF($B53="","",IFERROR(INDEX('계약'!$G$5:$G$204,MATCH($B53,'계약'!$B$5:$B$204,0)),""))&lt;&gt;"","대여중","쉬는차"))</x:f>
      </x:c>
      <x:c r="F53" s="35" t="str">
        <x:f>IF($B53="","",IFERROR(INDEX('계약'!$G$5:$G$204,MATCH($B53,'계약'!$B$5:$B$204,0)),""))</x:f>
      </x:c>
      <x:c r="G53" s="276" t="str">
        <x:f>IF($B53="","",IFERROR(INDEX('계약'!$H$5:$H$204,MATCH($B53,'계약'!$B$5:$B$204,0)),""))</x:f>
      </x:c>
      <x:c r="H53" s="276" t="str">
        <x:f>IF($B53="","",IFERROR(INDEX('계약'!$I$5:$I$204,MATCH($B53,'계약'!$B$5:$B$204,0)),""))</x:f>
      </x:c>
      <x:c r="I53" s="35" t="str">
        <x:f>IF(H53="","",IF(H53&lt;'요약'!$B$2,"만료",(YEAR(H53)-YEAR('요약'!$B$2))*12+MONTH(H53)-MONTH('요약'!$B$2)))</x:f>
      </x:c>
      <x:c r="J53" s="279" t="str">
        <x:f>IF($B53="","",IFERROR(INDEX('계약'!$K$5:$K$204,MATCH($B53,'계약'!$B$5:$B$204,0)),""))</x:f>
      </x:c>
      <x:c r="K53" s="279" t="str">
        <x:f>IF($B53="","",IFERROR(INDEX('계약'!$L$5:$L$204,MATCH($B53,'계약'!$B$5:$B$204,0)),""))</x:f>
      </x:c>
      <x:c r="L53" s="279" t="str">
        <x:f>IF($B53="","",IFERROR(INDEX('수납'!$E$5:$E$204,MATCH($B53,'수납'!$B$5:$B$204,0)),0))</x:f>
      </x:c>
      <x:c r="M53" s="35" t="str">
        <x:f>IF($B53="","",IFERROR(INDEX('수납'!$D$5:$D$204,MATCH($B53,'수납'!$B$5:$B$204,0)),0))</x:f>
      </x:c>
      <x:c r="N53" s="35" t="str">
        <x:f>IF($B53="","",IFERROR(INDEX('계약'!$M$5:$M$204,MATCH($B53,'계약'!$B$5:$B$204,0)),""))</x:f>
      </x:c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  <x:c r="AA53" s="1"/>
      <x:c r="AB53" s="1"/>
      <x:c r="AC53" s="1"/>
      <x:c r="AD53" s="1"/>
      <x:c r="AE53" s="1"/>
    </x:row>
    <x:row r="54" ht="18" customHeight="1">
      <x:c r="A54" s="273" t="str">
        <x:f>IF(B54="","",50)</x:f>
      </x:c>
      <x:c r="B54" s="35" t="str">
        <x:f>IFERROR(INDEX('자산'!$B$5:$B$204,MATCH(50,'자산'!$Z$5:$Z$204,0)),"")</x:f>
      </x:c>
      <x:c r="C54" s="35" t="str">
        <x:f>IF($B54="","",IFERROR(INDEX('자산'!$C$5:$C$204,MATCH($B54,'자산'!$B$5:$B$204,0)),""))</x:f>
      </x:c>
      <x:c r="D54" s="273" t="str">
        <x:f>IF($B54="","",IFERROR(INDEX('자산'!$D$5:$D$204,MATCH($B54,'자산'!$B$5:$B$204,0)),""))</x:f>
      </x:c>
      <x:c r="E54" s="273" t="str">
        <x:f>IF(B54="","",IF(IF($B54="","",IFERROR(INDEX('계약'!$G$5:$G$204,MATCH($B54,'계약'!$B$5:$B$204,0)),""))&lt;&gt;"","대여중","쉬는차"))</x:f>
      </x:c>
      <x:c r="F54" s="35" t="str">
        <x:f>IF($B54="","",IFERROR(INDEX('계약'!$G$5:$G$204,MATCH($B54,'계약'!$B$5:$B$204,0)),""))</x:f>
      </x:c>
      <x:c r="G54" s="276" t="str">
        <x:f>IF($B54="","",IFERROR(INDEX('계약'!$H$5:$H$204,MATCH($B54,'계약'!$B$5:$B$204,0)),""))</x:f>
      </x:c>
      <x:c r="H54" s="276" t="str">
        <x:f>IF($B54="","",IFERROR(INDEX('계약'!$I$5:$I$204,MATCH($B54,'계약'!$B$5:$B$204,0)),""))</x:f>
      </x:c>
      <x:c r="I54" s="35" t="str">
        <x:f>IF(H54="","",IF(H54&lt;'요약'!$B$2,"만료",(YEAR(H54)-YEAR('요약'!$B$2))*12+MONTH(H54)-MONTH('요약'!$B$2)))</x:f>
      </x:c>
      <x:c r="J54" s="279" t="str">
        <x:f>IF($B54="","",IFERROR(INDEX('계약'!$K$5:$K$204,MATCH($B54,'계약'!$B$5:$B$204,0)),""))</x:f>
      </x:c>
      <x:c r="K54" s="279" t="str">
        <x:f>IF($B54="","",IFERROR(INDEX('계약'!$L$5:$L$204,MATCH($B54,'계약'!$B$5:$B$204,0)),""))</x:f>
      </x:c>
      <x:c r="L54" s="279" t="str">
        <x:f>IF($B54="","",IFERROR(INDEX('수납'!$E$5:$E$204,MATCH($B54,'수납'!$B$5:$B$204,0)),0))</x:f>
      </x:c>
      <x:c r="M54" s="35" t="str">
        <x:f>IF($B54="","",IFERROR(INDEX('수납'!$D$5:$D$204,MATCH($B54,'수납'!$B$5:$B$204,0)),0))</x:f>
      </x:c>
      <x:c r="N54" s="35" t="str">
        <x:f>IF($B54="","",IFERROR(INDEX('계약'!$M$5:$M$204,MATCH($B54,'계약'!$B$5:$B$204,0)),""))</x:f>
      </x:c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  <x:c r="AA54" s="1"/>
      <x:c r="AB54" s="1"/>
      <x:c r="AC54" s="1"/>
      <x:c r="AD54" s="1"/>
      <x:c r="AE54" s="1"/>
    </x:row>
    <x:row r="55" ht="18" customHeight="1">
      <x:c r="A55" s="273" t="str">
        <x:f>IF(B55="","",51)</x:f>
      </x:c>
      <x:c r="B55" s="35" t="str">
        <x:f>IFERROR(INDEX('자산'!$B$5:$B$204,MATCH(51,'자산'!$Z$5:$Z$204,0)),"")</x:f>
      </x:c>
      <x:c r="C55" s="35" t="str">
        <x:f>IF($B55="","",IFERROR(INDEX('자산'!$C$5:$C$204,MATCH($B55,'자산'!$B$5:$B$204,0)),""))</x:f>
      </x:c>
      <x:c r="D55" s="273" t="str">
        <x:f>IF($B55="","",IFERROR(INDEX('자산'!$D$5:$D$204,MATCH($B55,'자산'!$B$5:$B$204,0)),""))</x:f>
      </x:c>
      <x:c r="E55" s="273" t="str">
        <x:f>IF(B55="","",IF(IF($B55="","",IFERROR(INDEX('계약'!$G$5:$G$204,MATCH($B55,'계약'!$B$5:$B$204,0)),""))&lt;&gt;"","대여중","쉬는차"))</x:f>
      </x:c>
      <x:c r="F55" s="35" t="str">
        <x:f>IF($B55="","",IFERROR(INDEX('계약'!$G$5:$G$204,MATCH($B55,'계약'!$B$5:$B$204,0)),""))</x:f>
      </x:c>
      <x:c r="G55" s="276" t="str">
        <x:f>IF($B55="","",IFERROR(INDEX('계약'!$H$5:$H$204,MATCH($B55,'계약'!$B$5:$B$204,0)),""))</x:f>
      </x:c>
      <x:c r="H55" s="276" t="str">
        <x:f>IF($B55="","",IFERROR(INDEX('계약'!$I$5:$I$204,MATCH($B55,'계약'!$B$5:$B$204,0)),""))</x:f>
      </x:c>
      <x:c r="I55" s="35" t="str">
        <x:f>IF(H55="","",IF(H55&lt;'요약'!$B$2,"만료",(YEAR(H55)-YEAR('요약'!$B$2))*12+MONTH(H55)-MONTH('요약'!$B$2)))</x:f>
      </x:c>
      <x:c r="J55" s="279" t="str">
        <x:f>IF($B55="","",IFERROR(INDEX('계약'!$K$5:$K$204,MATCH($B55,'계약'!$B$5:$B$204,0)),""))</x:f>
      </x:c>
      <x:c r="K55" s="279" t="str">
        <x:f>IF($B55="","",IFERROR(INDEX('계약'!$L$5:$L$204,MATCH($B55,'계약'!$B$5:$B$204,0)),""))</x:f>
      </x:c>
      <x:c r="L55" s="279" t="str">
        <x:f>IF($B55="","",IFERROR(INDEX('수납'!$E$5:$E$204,MATCH($B55,'수납'!$B$5:$B$204,0)),0))</x:f>
      </x:c>
      <x:c r="M55" s="35" t="str">
        <x:f>IF($B55="","",IFERROR(INDEX('수납'!$D$5:$D$204,MATCH($B55,'수납'!$B$5:$B$204,0)),0))</x:f>
      </x:c>
      <x:c r="N55" s="35" t="str">
        <x:f>IF($B55="","",IFERROR(INDEX('계약'!$M$5:$M$204,MATCH($B55,'계약'!$B$5:$B$204,0)),""))</x:f>
      </x:c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  <x:c r="AA55" s="1"/>
      <x:c r="AB55" s="1"/>
      <x:c r="AC55" s="1"/>
      <x:c r="AD55" s="1"/>
      <x:c r="AE55" s="1"/>
    </x:row>
    <x:row r="56" ht="18" customHeight="1">
      <x:c r="A56" s="273" t="str">
        <x:f>IF(B56="","",52)</x:f>
      </x:c>
      <x:c r="B56" s="35" t="str">
        <x:f>IFERROR(INDEX('자산'!$B$5:$B$204,MATCH(52,'자산'!$Z$5:$Z$204,0)),"")</x:f>
      </x:c>
      <x:c r="C56" s="35" t="str">
        <x:f>IF($B56="","",IFERROR(INDEX('자산'!$C$5:$C$204,MATCH($B56,'자산'!$B$5:$B$204,0)),""))</x:f>
      </x:c>
      <x:c r="D56" s="273" t="str">
        <x:f>IF($B56="","",IFERROR(INDEX('자산'!$D$5:$D$204,MATCH($B56,'자산'!$B$5:$B$204,0)),""))</x:f>
      </x:c>
      <x:c r="E56" s="273" t="str">
        <x:f>IF(B56="","",IF(IF($B56="","",IFERROR(INDEX('계약'!$G$5:$G$204,MATCH($B56,'계약'!$B$5:$B$204,0)),""))&lt;&gt;"","대여중","쉬는차"))</x:f>
      </x:c>
      <x:c r="F56" s="35" t="str">
        <x:f>IF($B56="","",IFERROR(INDEX('계약'!$G$5:$G$204,MATCH($B56,'계약'!$B$5:$B$204,0)),""))</x:f>
      </x:c>
      <x:c r="G56" s="276" t="str">
        <x:f>IF($B56="","",IFERROR(INDEX('계약'!$H$5:$H$204,MATCH($B56,'계약'!$B$5:$B$204,0)),""))</x:f>
      </x:c>
      <x:c r="H56" s="276" t="str">
        <x:f>IF($B56="","",IFERROR(INDEX('계약'!$I$5:$I$204,MATCH($B56,'계약'!$B$5:$B$204,0)),""))</x:f>
      </x:c>
      <x:c r="I56" s="35" t="str">
        <x:f>IF(H56="","",IF(H56&lt;'요약'!$B$2,"만료",(YEAR(H56)-YEAR('요약'!$B$2))*12+MONTH(H56)-MONTH('요약'!$B$2)))</x:f>
      </x:c>
      <x:c r="J56" s="279" t="str">
        <x:f>IF($B56="","",IFERROR(INDEX('계약'!$K$5:$K$204,MATCH($B56,'계약'!$B$5:$B$204,0)),""))</x:f>
      </x:c>
      <x:c r="K56" s="279" t="str">
        <x:f>IF($B56="","",IFERROR(INDEX('계약'!$L$5:$L$204,MATCH($B56,'계약'!$B$5:$B$204,0)),""))</x:f>
      </x:c>
      <x:c r="L56" s="279" t="str">
        <x:f>IF($B56="","",IFERROR(INDEX('수납'!$E$5:$E$204,MATCH($B56,'수납'!$B$5:$B$204,0)),0))</x:f>
      </x:c>
      <x:c r="M56" s="35" t="str">
        <x:f>IF($B56="","",IFERROR(INDEX('수납'!$D$5:$D$204,MATCH($B56,'수납'!$B$5:$B$204,0)),0))</x:f>
      </x:c>
      <x:c r="N56" s="35" t="str">
        <x:f>IF($B56="","",IFERROR(INDEX('계약'!$M$5:$M$204,MATCH($B56,'계약'!$B$5:$B$204,0)),""))</x:f>
      </x:c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  <x:c r="AA56" s="1"/>
      <x:c r="AB56" s="1"/>
      <x:c r="AC56" s="1"/>
      <x:c r="AD56" s="1"/>
      <x:c r="AE56" s="1"/>
    </x:row>
    <x:row r="57" ht="18" customHeight="1">
      <x:c r="A57" s="273" t="str">
        <x:f>IF(B57="","",53)</x:f>
      </x:c>
      <x:c r="B57" s="35" t="str">
        <x:f>IFERROR(INDEX('자산'!$B$5:$B$204,MATCH(53,'자산'!$Z$5:$Z$204,0)),"")</x:f>
      </x:c>
      <x:c r="C57" s="35" t="str">
        <x:f>IF($B57="","",IFERROR(INDEX('자산'!$C$5:$C$204,MATCH($B57,'자산'!$B$5:$B$204,0)),""))</x:f>
      </x:c>
      <x:c r="D57" s="273" t="str">
        <x:f>IF($B57="","",IFERROR(INDEX('자산'!$D$5:$D$204,MATCH($B57,'자산'!$B$5:$B$204,0)),""))</x:f>
      </x:c>
      <x:c r="E57" s="273" t="str">
        <x:f>IF(B57="","",IF(IF($B57="","",IFERROR(INDEX('계약'!$G$5:$G$204,MATCH($B57,'계약'!$B$5:$B$204,0)),""))&lt;&gt;"","대여중","쉬는차"))</x:f>
      </x:c>
      <x:c r="F57" s="35" t="str">
        <x:f>IF($B57="","",IFERROR(INDEX('계약'!$G$5:$G$204,MATCH($B57,'계약'!$B$5:$B$204,0)),""))</x:f>
      </x:c>
      <x:c r="G57" s="276" t="str">
        <x:f>IF($B57="","",IFERROR(INDEX('계약'!$H$5:$H$204,MATCH($B57,'계약'!$B$5:$B$204,0)),""))</x:f>
      </x:c>
      <x:c r="H57" s="276" t="str">
        <x:f>IF($B57="","",IFERROR(INDEX('계약'!$I$5:$I$204,MATCH($B57,'계약'!$B$5:$B$204,0)),""))</x:f>
      </x:c>
      <x:c r="I57" s="35" t="str">
        <x:f>IF(H57="","",IF(H57&lt;'요약'!$B$2,"만료",(YEAR(H57)-YEAR('요약'!$B$2))*12+MONTH(H57)-MONTH('요약'!$B$2)))</x:f>
      </x:c>
      <x:c r="J57" s="279" t="str">
        <x:f>IF($B57="","",IFERROR(INDEX('계약'!$K$5:$K$204,MATCH($B57,'계약'!$B$5:$B$204,0)),""))</x:f>
      </x:c>
      <x:c r="K57" s="279" t="str">
        <x:f>IF($B57="","",IFERROR(INDEX('계약'!$L$5:$L$204,MATCH($B57,'계약'!$B$5:$B$204,0)),""))</x:f>
      </x:c>
      <x:c r="L57" s="279" t="str">
        <x:f>IF($B57="","",IFERROR(INDEX('수납'!$E$5:$E$204,MATCH($B57,'수납'!$B$5:$B$204,0)),0))</x:f>
      </x:c>
      <x:c r="M57" s="35" t="str">
        <x:f>IF($B57="","",IFERROR(INDEX('수납'!$D$5:$D$204,MATCH($B57,'수납'!$B$5:$B$204,0)),0))</x:f>
      </x:c>
      <x:c r="N57" s="35" t="str">
        <x:f>IF($B57="","",IFERROR(INDEX('계약'!$M$5:$M$204,MATCH($B57,'계약'!$B$5:$B$204,0)),""))</x:f>
      </x:c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  <x:c r="AA57" s="1"/>
      <x:c r="AB57" s="1"/>
      <x:c r="AC57" s="1"/>
      <x:c r="AD57" s="1"/>
      <x:c r="AE57" s="1"/>
    </x:row>
    <x:row r="58" ht="18" customHeight="1">
      <x:c r="A58" s="273" t="str">
        <x:f>IF(B58="","",54)</x:f>
      </x:c>
      <x:c r="B58" s="35" t="str">
        <x:f>IFERROR(INDEX('자산'!$B$5:$B$204,MATCH(54,'자산'!$Z$5:$Z$204,0)),"")</x:f>
      </x:c>
      <x:c r="C58" s="35" t="str">
        <x:f>IF($B58="","",IFERROR(INDEX('자산'!$C$5:$C$204,MATCH($B58,'자산'!$B$5:$B$204,0)),""))</x:f>
      </x:c>
      <x:c r="D58" s="273" t="str">
        <x:f>IF($B58="","",IFERROR(INDEX('자산'!$D$5:$D$204,MATCH($B58,'자산'!$B$5:$B$204,0)),""))</x:f>
      </x:c>
      <x:c r="E58" s="273" t="str">
        <x:f>IF(B58="","",IF(IF($B58="","",IFERROR(INDEX('계약'!$G$5:$G$204,MATCH($B58,'계약'!$B$5:$B$204,0)),""))&lt;&gt;"","대여중","쉬는차"))</x:f>
      </x:c>
      <x:c r="F58" s="35" t="str">
        <x:f>IF($B58="","",IFERROR(INDEX('계약'!$G$5:$G$204,MATCH($B58,'계약'!$B$5:$B$204,0)),""))</x:f>
      </x:c>
      <x:c r="G58" s="276" t="str">
        <x:f>IF($B58="","",IFERROR(INDEX('계약'!$H$5:$H$204,MATCH($B58,'계약'!$B$5:$B$204,0)),""))</x:f>
      </x:c>
      <x:c r="H58" s="276" t="str">
        <x:f>IF($B58="","",IFERROR(INDEX('계약'!$I$5:$I$204,MATCH($B58,'계약'!$B$5:$B$204,0)),""))</x:f>
      </x:c>
      <x:c r="I58" s="35" t="str">
        <x:f>IF(H58="","",IF(H58&lt;'요약'!$B$2,"만료",(YEAR(H58)-YEAR('요약'!$B$2))*12+MONTH(H58)-MONTH('요약'!$B$2)))</x:f>
      </x:c>
      <x:c r="J58" s="279" t="str">
        <x:f>IF($B58="","",IFERROR(INDEX('계약'!$K$5:$K$204,MATCH($B58,'계약'!$B$5:$B$204,0)),""))</x:f>
      </x:c>
      <x:c r="K58" s="279" t="str">
        <x:f>IF($B58="","",IFERROR(INDEX('계약'!$L$5:$L$204,MATCH($B58,'계약'!$B$5:$B$204,0)),""))</x:f>
      </x:c>
      <x:c r="L58" s="279" t="str">
        <x:f>IF($B58="","",IFERROR(INDEX('수납'!$E$5:$E$204,MATCH($B58,'수납'!$B$5:$B$204,0)),0))</x:f>
      </x:c>
      <x:c r="M58" s="35" t="str">
        <x:f>IF($B58="","",IFERROR(INDEX('수납'!$D$5:$D$204,MATCH($B58,'수납'!$B$5:$B$204,0)),0))</x:f>
      </x:c>
      <x:c r="N58" s="35" t="str">
        <x:f>IF($B58="","",IFERROR(INDEX('계약'!$M$5:$M$204,MATCH($B58,'계약'!$B$5:$B$204,0)),""))</x:f>
      </x:c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  <x:c r="AA58" s="1"/>
      <x:c r="AB58" s="1"/>
      <x:c r="AC58" s="1"/>
      <x:c r="AD58" s="1"/>
      <x:c r="AE58" s="1"/>
    </x:row>
    <x:row r="59" ht="18" customHeight="1">
      <x:c r="A59" s="273" t="str">
        <x:f>IF(B59="","",55)</x:f>
      </x:c>
      <x:c r="B59" s="35" t="str">
        <x:f>IFERROR(INDEX('자산'!$B$5:$B$204,MATCH(55,'자산'!$Z$5:$Z$204,0)),"")</x:f>
      </x:c>
      <x:c r="C59" s="35" t="str">
        <x:f>IF($B59="","",IFERROR(INDEX('자산'!$C$5:$C$204,MATCH($B59,'자산'!$B$5:$B$204,0)),""))</x:f>
      </x:c>
      <x:c r="D59" s="273" t="str">
        <x:f>IF($B59="","",IFERROR(INDEX('자산'!$D$5:$D$204,MATCH($B59,'자산'!$B$5:$B$204,0)),""))</x:f>
      </x:c>
      <x:c r="E59" s="273" t="str">
        <x:f>IF(B59="","",IF(IF($B59="","",IFERROR(INDEX('계약'!$G$5:$G$204,MATCH($B59,'계약'!$B$5:$B$204,0)),""))&lt;&gt;"","대여중","쉬는차"))</x:f>
      </x:c>
      <x:c r="F59" s="35" t="str">
        <x:f>IF($B59="","",IFERROR(INDEX('계약'!$G$5:$G$204,MATCH($B59,'계약'!$B$5:$B$204,0)),""))</x:f>
      </x:c>
      <x:c r="G59" s="276" t="str">
        <x:f>IF($B59="","",IFERROR(INDEX('계약'!$H$5:$H$204,MATCH($B59,'계약'!$B$5:$B$204,0)),""))</x:f>
      </x:c>
      <x:c r="H59" s="276" t="str">
        <x:f>IF($B59="","",IFERROR(INDEX('계약'!$I$5:$I$204,MATCH($B59,'계약'!$B$5:$B$204,0)),""))</x:f>
      </x:c>
      <x:c r="I59" s="35" t="str">
        <x:f>IF(H59="","",IF(H59&lt;'요약'!$B$2,"만료",(YEAR(H59)-YEAR('요약'!$B$2))*12+MONTH(H59)-MONTH('요약'!$B$2)))</x:f>
      </x:c>
      <x:c r="J59" s="279" t="str">
        <x:f>IF($B59="","",IFERROR(INDEX('계약'!$K$5:$K$204,MATCH($B59,'계약'!$B$5:$B$204,0)),""))</x:f>
      </x:c>
      <x:c r="K59" s="279" t="str">
        <x:f>IF($B59="","",IFERROR(INDEX('계약'!$L$5:$L$204,MATCH($B59,'계약'!$B$5:$B$204,0)),""))</x:f>
      </x:c>
      <x:c r="L59" s="279" t="str">
        <x:f>IF($B59="","",IFERROR(INDEX('수납'!$E$5:$E$204,MATCH($B59,'수납'!$B$5:$B$204,0)),0))</x:f>
      </x:c>
      <x:c r="M59" s="35" t="str">
        <x:f>IF($B59="","",IFERROR(INDEX('수납'!$D$5:$D$204,MATCH($B59,'수납'!$B$5:$B$204,0)),0))</x:f>
      </x:c>
      <x:c r="N59" s="35" t="str">
        <x:f>IF($B59="","",IFERROR(INDEX('계약'!$M$5:$M$204,MATCH($B59,'계약'!$B$5:$B$204,0)),""))</x:f>
      </x:c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  <x:c r="AA59" s="1"/>
      <x:c r="AB59" s="1"/>
      <x:c r="AC59" s="1"/>
      <x:c r="AD59" s="1"/>
      <x:c r="AE59" s="1"/>
    </x:row>
    <x:row r="60" ht="18" customHeight="1">
      <x:c r="A60" s="273" t="str">
        <x:f>IF(B60="","",56)</x:f>
      </x:c>
      <x:c r="B60" s="35" t="str">
        <x:f>IFERROR(INDEX('자산'!$B$5:$B$204,MATCH(56,'자산'!$Z$5:$Z$204,0)),"")</x:f>
      </x:c>
      <x:c r="C60" s="35" t="str">
        <x:f>IF($B60="","",IFERROR(INDEX('자산'!$C$5:$C$204,MATCH($B60,'자산'!$B$5:$B$204,0)),""))</x:f>
      </x:c>
      <x:c r="D60" s="273" t="str">
        <x:f>IF($B60="","",IFERROR(INDEX('자산'!$D$5:$D$204,MATCH($B60,'자산'!$B$5:$B$204,0)),""))</x:f>
      </x:c>
      <x:c r="E60" s="273" t="str">
        <x:f>IF(B60="","",IF(IF($B60="","",IFERROR(INDEX('계약'!$G$5:$G$204,MATCH($B60,'계약'!$B$5:$B$204,0)),""))&lt;&gt;"","대여중","쉬는차"))</x:f>
      </x:c>
      <x:c r="F60" s="35" t="str">
        <x:f>IF($B60="","",IFERROR(INDEX('계약'!$G$5:$G$204,MATCH($B60,'계약'!$B$5:$B$204,0)),""))</x:f>
      </x:c>
      <x:c r="G60" s="276" t="str">
        <x:f>IF($B60="","",IFERROR(INDEX('계약'!$H$5:$H$204,MATCH($B60,'계약'!$B$5:$B$204,0)),""))</x:f>
      </x:c>
      <x:c r="H60" s="276" t="str">
        <x:f>IF($B60="","",IFERROR(INDEX('계약'!$I$5:$I$204,MATCH($B60,'계약'!$B$5:$B$204,0)),""))</x:f>
      </x:c>
      <x:c r="I60" s="35" t="str">
        <x:f>IF(H60="","",IF(H60&lt;'요약'!$B$2,"만료",(YEAR(H60)-YEAR('요약'!$B$2))*12+MONTH(H60)-MONTH('요약'!$B$2)))</x:f>
      </x:c>
      <x:c r="J60" s="279" t="str">
        <x:f>IF($B60="","",IFERROR(INDEX('계약'!$K$5:$K$204,MATCH($B60,'계약'!$B$5:$B$204,0)),""))</x:f>
      </x:c>
      <x:c r="K60" s="279" t="str">
        <x:f>IF($B60="","",IFERROR(INDEX('계약'!$L$5:$L$204,MATCH($B60,'계약'!$B$5:$B$204,0)),""))</x:f>
      </x:c>
      <x:c r="L60" s="279" t="str">
        <x:f>IF($B60="","",IFERROR(INDEX('수납'!$E$5:$E$204,MATCH($B60,'수납'!$B$5:$B$204,0)),0))</x:f>
      </x:c>
      <x:c r="M60" s="35" t="str">
        <x:f>IF($B60="","",IFERROR(INDEX('수납'!$D$5:$D$204,MATCH($B60,'수납'!$B$5:$B$204,0)),0))</x:f>
      </x:c>
      <x:c r="N60" s="35" t="str">
        <x:f>IF($B60="","",IFERROR(INDEX('계약'!$M$5:$M$204,MATCH($B60,'계약'!$B$5:$B$204,0)),""))</x:f>
      </x:c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  <x:c r="AA60" s="1"/>
      <x:c r="AB60" s="1"/>
      <x:c r="AC60" s="1"/>
      <x:c r="AD60" s="1"/>
      <x:c r="AE60" s="1"/>
    </x:row>
    <x:row r="61" ht="18" customHeight="1">
      <x:c r="A61" s="273" t="str">
        <x:f>IF(B61="","",57)</x:f>
      </x:c>
      <x:c r="B61" s="35" t="str">
        <x:f>IFERROR(INDEX('자산'!$B$5:$B$204,MATCH(57,'자산'!$Z$5:$Z$204,0)),"")</x:f>
      </x:c>
      <x:c r="C61" s="35" t="str">
        <x:f>IF($B61="","",IFERROR(INDEX('자산'!$C$5:$C$204,MATCH($B61,'자산'!$B$5:$B$204,0)),""))</x:f>
      </x:c>
      <x:c r="D61" s="273" t="str">
        <x:f>IF($B61="","",IFERROR(INDEX('자산'!$D$5:$D$204,MATCH($B61,'자산'!$B$5:$B$204,0)),""))</x:f>
      </x:c>
      <x:c r="E61" s="273" t="str">
        <x:f>IF(B61="","",IF(IF($B61="","",IFERROR(INDEX('계약'!$G$5:$G$204,MATCH($B61,'계약'!$B$5:$B$204,0)),""))&lt;&gt;"","대여중","쉬는차"))</x:f>
      </x:c>
      <x:c r="F61" s="35" t="str">
        <x:f>IF($B61="","",IFERROR(INDEX('계약'!$G$5:$G$204,MATCH($B61,'계약'!$B$5:$B$204,0)),""))</x:f>
      </x:c>
      <x:c r="G61" s="276" t="str">
        <x:f>IF($B61="","",IFERROR(INDEX('계약'!$H$5:$H$204,MATCH($B61,'계약'!$B$5:$B$204,0)),""))</x:f>
      </x:c>
      <x:c r="H61" s="276" t="str">
        <x:f>IF($B61="","",IFERROR(INDEX('계약'!$I$5:$I$204,MATCH($B61,'계약'!$B$5:$B$204,0)),""))</x:f>
      </x:c>
      <x:c r="I61" s="35" t="str">
        <x:f>IF(H61="","",IF(H61&lt;'요약'!$B$2,"만료",(YEAR(H61)-YEAR('요약'!$B$2))*12+MONTH(H61)-MONTH('요약'!$B$2)))</x:f>
      </x:c>
      <x:c r="J61" s="279" t="str">
        <x:f>IF($B61="","",IFERROR(INDEX('계약'!$K$5:$K$204,MATCH($B61,'계약'!$B$5:$B$204,0)),""))</x:f>
      </x:c>
      <x:c r="K61" s="279" t="str">
        <x:f>IF($B61="","",IFERROR(INDEX('계약'!$L$5:$L$204,MATCH($B61,'계약'!$B$5:$B$204,0)),""))</x:f>
      </x:c>
      <x:c r="L61" s="279" t="str">
        <x:f>IF($B61="","",IFERROR(INDEX('수납'!$E$5:$E$204,MATCH($B61,'수납'!$B$5:$B$204,0)),0))</x:f>
      </x:c>
      <x:c r="M61" s="35" t="str">
        <x:f>IF($B61="","",IFERROR(INDEX('수납'!$D$5:$D$204,MATCH($B61,'수납'!$B$5:$B$204,0)),0))</x:f>
      </x:c>
      <x:c r="N61" s="35" t="str">
        <x:f>IF($B61="","",IFERROR(INDEX('계약'!$M$5:$M$204,MATCH($B61,'계약'!$B$5:$B$204,0)),""))</x:f>
      </x:c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  <x:c r="AA61" s="1"/>
      <x:c r="AB61" s="1"/>
      <x:c r="AC61" s="1"/>
      <x:c r="AD61" s="1"/>
      <x:c r="AE61" s="1"/>
    </x:row>
    <x:row r="62" ht="18" customHeight="1">
      <x:c r="A62" s="273" t="str">
        <x:f>IF(B62="","",58)</x:f>
      </x:c>
      <x:c r="B62" s="35" t="str">
        <x:f>IFERROR(INDEX('자산'!$B$5:$B$204,MATCH(58,'자산'!$Z$5:$Z$204,0)),"")</x:f>
      </x:c>
      <x:c r="C62" s="35" t="str">
        <x:f>IF($B62="","",IFERROR(INDEX('자산'!$C$5:$C$204,MATCH($B62,'자산'!$B$5:$B$204,0)),""))</x:f>
      </x:c>
      <x:c r="D62" s="273" t="str">
        <x:f>IF($B62="","",IFERROR(INDEX('자산'!$D$5:$D$204,MATCH($B62,'자산'!$B$5:$B$204,0)),""))</x:f>
      </x:c>
      <x:c r="E62" s="273" t="str">
        <x:f>IF(B62="","",IF(IF($B62="","",IFERROR(INDEX('계약'!$G$5:$G$204,MATCH($B62,'계약'!$B$5:$B$204,0)),""))&lt;&gt;"","대여중","쉬는차"))</x:f>
      </x:c>
      <x:c r="F62" s="35" t="str">
        <x:f>IF($B62="","",IFERROR(INDEX('계약'!$G$5:$G$204,MATCH($B62,'계약'!$B$5:$B$204,0)),""))</x:f>
      </x:c>
      <x:c r="G62" s="276" t="str">
        <x:f>IF($B62="","",IFERROR(INDEX('계약'!$H$5:$H$204,MATCH($B62,'계약'!$B$5:$B$204,0)),""))</x:f>
      </x:c>
      <x:c r="H62" s="276" t="str">
        <x:f>IF($B62="","",IFERROR(INDEX('계약'!$I$5:$I$204,MATCH($B62,'계약'!$B$5:$B$204,0)),""))</x:f>
      </x:c>
      <x:c r="I62" s="35" t="str">
        <x:f>IF(H62="","",IF(H62&lt;'요약'!$B$2,"만료",(YEAR(H62)-YEAR('요약'!$B$2))*12+MONTH(H62)-MONTH('요약'!$B$2)))</x:f>
      </x:c>
      <x:c r="J62" s="279" t="str">
        <x:f>IF($B62="","",IFERROR(INDEX('계약'!$K$5:$K$204,MATCH($B62,'계약'!$B$5:$B$204,0)),""))</x:f>
      </x:c>
      <x:c r="K62" s="279" t="str">
        <x:f>IF($B62="","",IFERROR(INDEX('계약'!$L$5:$L$204,MATCH($B62,'계약'!$B$5:$B$204,0)),""))</x:f>
      </x:c>
      <x:c r="L62" s="279" t="str">
        <x:f>IF($B62="","",IFERROR(INDEX('수납'!$E$5:$E$204,MATCH($B62,'수납'!$B$5:$B$204,0)),0))</x:f>
      </x:c>
      <x:c r="M62" s="35" t="str">
        <x:f>IF($B62="","",IFERROR(INDEX('수납'!$D$5:$D$204,MATCH($B62,'수납'!$B$5:$B$204,0)),0))</x:f>
      </x:c>
      <x:c r="N62" s="35" t="str">
        <x:f>IF($B62="","",IFERROR(INDEX('계약'!$M$5:$M$204,MATCH($B62,'계약'!$B$5:$B$204,0)),""))</x:f>
      </x:c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  <x:c r="AA62" s="1"/>
      <x:c r="AB62" s="1"/>
      <x:c r="AC62" s="1"/>
      <x:c r="AD62" s="1"/>
      <x:c r="AE62" s="1"/>
    </x:row>
    <x:row r="63" ht="18" customHeight="1">
      <x:c r="A63" s="273" t="str">
        <x:f>IF(B63="","",59)</x:f>
      </x:c>
      <x:c r="B63" s="35" t="str">
        <x:f>IFERROR(INDEX('자산'!$B$5:$B$204,MATCH(59,'자산'!$Z$5:$Z$204,0)),"")</x:f>
      </x:c>
      <x:c r="C63" s="35" t="str">
        <x:f>IF($B63="","",IFERROR(INDEX('자산'!$C$5:$C$204,MATCH($B63,'자산'!$B$5:$B$204,0)),""))</x:f>
      </x:c>
      <x:c r="D63" s="273" t="str">
        <x:f>IF($B63="","",IFERROR(INDEX('자산'!$D$5:$D$204,MATCH($B63,'자산'!$B$5:$B$204,0)),""))</x:f>
      </x:c>
      <x:c r="E63" s="273" t="str">
        <x:f>IF(B63="","",IF(IF($B63="","",IFERROR(INDEX('계약'!$G$5:$G$204,MATCH($B63,'계약'!$B$5:$B$204,0)),""))&lt;&gt;"","대여중","쉬는차"))</x:f>
      </x:c>
      <x:c r="F63" s="35" t="str">
        <x:f>IF($B63="","",IFERROR(INDEX('계약'!$G$5:$G$204,MATCH($B63,'계약'!$B$5:$B$204,0)),""))</x:f>
      </x:c>
      <x:c r="G63" s="276" t="str">
        <x:f>IF($B63="","",IFERROR(INDEX('계약'!$H$5:$H$204,MATCH($B63,'계약'!$B$5:$B$204,0)),""))</x:f>
      </x:c>
      <x:c r="H63" s="276" t="str">
        <x:f>IF($B63="","",IFERROR(INDEX('계약'!$I$5:$I$204,MATCH($B63,'계약'!$B$5:$B$204,0)),""))</x:f>
      </x:c>
      <x:c r="I63" s="35" t="str">
        <x:f>IF(H63="","",IF(H63&lt;'요약'!$B$2,"만료",(YEAR(H63)-YEAR('요약'!$B$2))*12+MONTH(H63)-MONTH('요약'!$B$2)))</x:f>
      </x:c>
      <x:c r="J63" s="279" t="str">
        <x:f>IF($B63="","",IFERROR(INDEX('계약'!$K$5:$K$204,MATCH($B63,'계약'!$B$5:$B$204,0)),""))</x:f>
      </x:c>
      <x:c r="K63" s="279" t="str">
        <x:f>IF($B63="","",IFERROR(INDEX('계약'!$L$5:$L$204,MATCH($B63,'계약'!$B$5:$B$204,0)),""))</x:f>
      </x:c>
      <x:c r="L63" s="279" t="str">
        <x:f>IF($B63="","",IFERROR(INDEX('수납'!$E$5:$E$204,MATCH($B63,'수납'!$B$5:$B$204,0)),0))</x:f>
      </x:c>
      <x:c r="M63" s="35" t="str">
        <x:f>IF($B63="","",IFERROR(INDEX('수납'!$D$5:$D$204,MATCH($B63,'수납'!$B$5:$B$204,0)),0))</x:f>
      </x:c>
      <x:c r="N63" s="35" t="str">
        <x:f>IF($B63="","",IFERROR(INDEX('계약'!$M$5:$M$204,MATCH($B63,'계약'!$B$5:$B$204,0)),""))</x:f>
      </x:c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  <x:c r="AA63" s="1"/>
      <x:c r="AB63" s="1"/>
      <x:c r="AC63" s="1"/>
      <x:c r="AD63" s="1"/>
      <x:c r="AE63" s="1"/>
    </x:row>
    <x:row r="64" ht="18" customHeight="1">
      <x:c r="A64" s="273" t="str">
        <x:f>IF(B64="","",60)</x:f>
      </x:c>
      <x:c r="B64" s="35" t="str">
        <x:f>IFERROR(INDEX('자산'!$B$5:$B$204,MATCH(60,'자산'!$Z$5:$Z$204,0)),"")</x:f>
      </x:c>
      <x:c r="C64" s="35" t="str">
        <x:f>IF($B64="","",IFERROR(INDEX('자산'!$C$5:$C$204,MATCH($B64,'자산'!$B$5:$B$204,0)),""))</x:f>
      </x:c>
      <x:c r="D64" s="273" t="str">
        <x:f>IF($B64="","",IFERROR(INDEX('자산'!$D$5:$D$204,MATCH($B64,'자산'!$B$5:$B$204,0)),""))</x:f>
      </x:c>
      <x:c r="E64" s="273" t="str">
        <x:f>IF(B64="","",IF(IF($B64="","",IFERROR(INDEX('계약'!$G$5:$G$204,MATCH($B64,'계약'!$B$5:$B$204,0)),""))&lt;&gt;"","대여중","쉬는차"))</x:f>
      </x:c>
      <x:c r="F64" s="35" t="str">
        <x:f>IF($B64="","",IFERROR(INDEX('계약'!$G$5:$G$204,MATCH($B64,'계약'!$B$5:$B$204,0)),""))</x:f>
      </x:c>
      <x:c r="G64" s="276" t="str">
        <x:f>IF($B64="","",IFERROR(INDEX('계약'!$H$5:$H$204,MATCH($B64,'계약'!$B$5:$B$204,0)),""))</x:f>
      </x:c>
      <x:c r="H64" s="276" t="str">
        <x:f>IF($B64="","",IFERROR(INDEX('계약'!$I$5:$I$204,MATCH($B64,'계약'!$B$5:$B$204,0)),""))</x:f>
      </x:c>
      <x:c r="I64" s="35" t="str">
        <x:f>IF(H64="","",IF(H64&lt;'요약'!$B$2,"만료",(YEAR(H64)-YEAR('요약'!$B$2))*12+MONTH(H64)-MONTH('요약'!$B$2)))</x:f>
      </x:c>
      <x:c r="J64" s="279" t="str">
        <x:f>IF($B64="","",IFERROR(INDEX('계약'!$K$5:$K$204,MATCH($B64,'계약'!$B$5:$B$204,0)),""))</x:f>
      </x:c>
      <x:c r="K64" s="279" t="str">
        <x:f>IF($B64="","",IFERROR(INDEX('계약'!$L$5:$L$204,MATCH($B64,'계약'!$B$5:$B$204,0)),""))</x:f>
      </x:c>
      <x:c r="L64" s="279" t="str">
        <x:f>IF($B64="","",IFERROR(INDEX('수납'!$E$5:$E$204,MATCH($B64,'수납'!$B$5:$B$204,0)),0))</x:f>
      </x:c>
      <x:c r="M64" s="35" t="str">
        <x:f>IF($B64="","",IFERROR(INDEX('수납'!$D$5:$D$204,MATCH($B64,'수납'!$B$5:$B$204,0)),0))</x:f>
      </x:c>
      <x:c r="N64" s="35" t="str">
        <x:f>IF($B64="","",IFERROR(INDEX('계약'!$M$5:$M$204,MATCH($B64,'계약'!$B$5:$B$204,0)),""))</x:f>
      </x:c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  <x:c r="AA64" s="1"/>
      <x:c r="AB64" s="1"/>
      <x:c r="AC64" s="1"/>
      <x:c r="AD64" s="1"/>
      <x:c r="AE64" s="1"/>
    </x:row>
    <x:row r="65" ht="18" customHeight="1">
      <x:c r="A65" s="273" t="str">
        <x:f>IF(B65="","",61)</x:f>
      </x:c>
      <x:c r="B65" s="35" t="str">
        <x:f>IFERROR(INDEX('자산'!$B$5:$B$204,MATCH(61,'자산'!$Z$5:$Z$204,0)),"")</x:f>
      </x:c>
      <x:c r="C65" s="35" t="str">
        <x:f>IF($B65="","",IFERROR(INDEX('자산'!$C$5:$C$204,MATCH($B65,'자산'!$B$5:$B$204,0)),""))</x:f>
      </x:c>
      <x:c r="D65" s="273" t="str">
        <x:f>IF($B65="","",IFERROR(INDEX('자산'!$D$5:$D$204,MATCH($B65,'자산'!$B$5:$B$204,0)),""))</x:f>
      </x:c>
      <x:c r="E65" s="273" t="str">
        <x:f>IF(B65="","",IF(IF($B65="","",IFERROR(INDEX('계약'!$G$5:$G$204,MATCH($B65,'계약'!$B$5:$B$204,0)),""))&lt;&gt;"","대여중","쉬는차"))</x:f>
      </x:c>
      <x:c r="F65" s="35" t="str">
        <x:f>IF($B65="","",IFERROR(INDEX('계약'!$G$5:$G$204,MATCH($B65,'계약'!$B$5:$B$204,0)),""))</x:f>
      </x:c>
      <x:c r="G65" s="276" t="str">
        <x:f>IF($B65="","",IFERROR(INDEX('계약'!$H$5:$H$204,MATCH($B65,'계약'!$B$5:$B$204,0)),""))</x:f>
      </x:c>
      <x:c r="H65" s="276" t="str">
        <x:f>IF($B65="","",IFERROR(INDEX('계약'!$I$5:$I$204,MATCH($B65,'계약'!$B$5:$B$204,0)),""))</x:f>
      </x:c>
      <x:c r="I65" s="35" t="str">
        <x:f>IF(H65="","",IF(H65&lt;'요약'!$B$2,"만료",(YEAR(H65)-YEAR('요약'!$B$2))*12+MONTH(H65)-MONTH('요약'!$B$2)))</x:f>
      </x:c>
      <x:c r="J65" s="279" t="str">
        <x:f>IF($B65="","",IFERROR(INDEX('계약'!$K$5:$K$204,MATCH($B65,'계약'!$B$5:$B$204,0)),""))</x:f>
      </x:c>
      <x:c r="K65" s="279" t="str">
        <x:f>IF($B65="","",IFERROR(INDEX('계약'!$L$5:$L$204,MATCH($B65,'계약'!$B$5:$B$204,0)),""))</x:f>
      </x:c>
      <x:c r="L65" s="279" t="str">
        <x:f>IF($B65="","",IFERROR(INDEX('수납'!$E$5:$E$204,MATCH($B65,'수납'!$B$5:$B$204,0)),0))</x:f>
      </x:c>
      <x:c r="M65" s="35" t="str">
        <x:f>IF($B65="","",IFERROR(INDEX('수납'!$D$5:$D$204,MATCH($B65,'수납'!$B$5:$B$204,0)),0))</x:f>
      </x:c>
      <x:c r="N65" s="35" t="str">
        <x:f>IF($B65="","",IFERROR(INDEX('계약'!$M$5:$M$204,MATCH($B65,'계약'!$B$5:$B$204,0)),""))</x:f>
      </x:c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  <x:c r="AA65" s="1"/>
      <x:c r="AB65" s="1"/>
      <x:c r="AC65" s="1"/>
      <x:c r="AD65" s="1"/>
      <x:c r="AE65" s="1"/>
    </x:row>
    <x:row r="66" ht="18" customHeight="1">
      <x:c r="A66" s="273" t="str">
        <x:f>IF(B66="","",62)</x:f>
      </x:c>
      <x:c r="B66" s="35" t="str">
        <x:f>IFERROR(INDEX('자산'!$B$5:$B$204,MATCH(62,'자산'!$Z$5:$Z$204,0)),"")</x:f>
      </x:c>
      <x:c r="C66" s="35" t="str">
        <x:f>IF($B66="","",IFERROR(INDEX('자산'!$C$5:$C$204,MATCH($B66,'자산'!$B$5:$B$204,0)),""))</x:f>
      </x:c>
      <x:c r="D66" s="273" t="str">
        <x:f>IF($B66="","",IFERROR(INDEX('자산'!$D$5:$D$204,MATCH($B66,'자산'!$B$5:$B$204,0)),""))</x:f>
      </x:c>
      <x:c r="E66" s="273" t="str">
        <x:f>IF(B66="","",IF(IF($B66="","",IFERROR(INDEX('계약'!$G$5:$G$204,MATCH($B66,'계약'!$B$5:$B$204,0)),""))&lt;&gt;"","대여중","쉬는차"))</x:f>
      </x:c>
      <x:c r="F66" s="35" t="str">
        <x:f>IF($B66="","",IFERROR(INDEX('계약'!$G$5:$G$204,MATCH($B66,'계약'!$B$5:$B$204,0)),""))</x:f>
      </x:c>
      <x:c r="G66" s="276" t="str">
        <x:f>IF($B66="","",IFERROR(INDEX('계약'!$H$5:$H$204,MATCH($B66,'계약'!$B$5:$B$204,0)),""))</x:f>
      </x:c>
      <x:c r="H66" s="276" t="str">
        <x:f>IF($B66="","",IFERROR(INDEX('계약'!$I$5:$I$204,MATCH($B66,'계약'!$B$5:$B$204,0)),""))</x:f>
      </x:c>
      <x:c r="I66" s="35" t="str">
        <x:f>IF(H66="","",IF(H66&lt;'요약'!$B$2,"만료",(YEAR(H66)-YEAR('요약'!$B$2))*12+MONTH(H66)-MONTH('요약'!$B$2)))</x:f>
      </x:c>
      <x:c r="J66" s="279" t="str">
        <x:f>IF($B66="","",IFERROR(INDEX('계약'!$K$5:$K$204,MATCH($B66,'계약'!$B$5:$B$204,0)),""))</x:f>
      </x:c>
      <x:c r="K66" s="279" t="str">
        <x:f>IF($B66="","",IFERROR(INDEX('계약'!$L$5:$L$204,MATCH($B66,'계약'!$B$5:$B$204,0)),""))</x:f>
      </x:c>
      <x:c r="L66" s="279" t="str">
        <x:f>IF($B66="","",IFERROR(INDEX('수납'!$E$5:$E$204,MATCH($B66,'수납'!$B$5:$B$204,0)),0))</x:f>
      </x:c>
      <x:c r="M66" s="35" t="str">
        <x:f>IF($B66="","",IFERROR(INDEX('수납'!$D$5:$D$204,MATCH($B66,'수납'!$B$5:$B$204,0)),0))</x:f>
      </x:c>
      <x:c r="N66" s="35" t="str">
        <x:f>IF($B66="","",IFERROR(INDEX('계약'!$M$5:$M$204,MATCH($B66,'계약'!$B$5:$B$204,0)),""))</x:f>
      </x:c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  <x:c r="AA66" s="1"/>
      <x:c r="AB66" s="1"/>
      <x:c r="AC66" s="1"/>
      <x:c r="AD66" s="1"/>
      <x:c r="AE66" s="1"/>
    </x:row>
    <x:row r="67" ht="18" customHeight="1">
      <x:c r="A67" s="273" t="str">
        <x:f>IF(B67="","",63)</x:f>
      </x:c>
      <x:c r="B67" s="35" t="str">
        <x:f>IFERROR(INDEX('자산'!$B$5:$B$204,MATCH(63,'자산'!$Z$5:$Z$204,0)),"")</x:f>
      </x:c>
      <x:c r="C67" s="35" t="str">
        <x:f>IF($B67="","",IFERROR(INDEX('자산'!$C$5:$C$204,MATCH($B67,'자산'!$B$5:$B$204,0)),""))</x:f>
      </x:c>
      <x:c r="D67" s="273" t="str">
        <x:f>IF($B67="","",IFERROR(INDEX('자산'!$D$5:$D$204,MATCH($B67,'자산'!$B$5:$B$204,0)),""))</x:f>
      </x:c>
      <x:c r="E67" s="273" t="str">
        <x:f>IF(B67="","",IF(IF($B67="","",IFERROR(INDEX('계약'!$G$5:$G$204,MATCH($B67,'계약'!$B$5:$B$204,0)),""))&lt;&gt;"","대여중","쉬는차"))</x:f>
      </x:c>
      <x:c r="F67" s="35" t="str">
        <x:f>IF($B67="","",IFERROR(INDEX('계약'!$G$5:$G$204,MATCH($B67,'계약'!$B$5:$B$204,0)),""))</x:f>
      </x:c>
      <x:c r="G67" s="276" t="str">
        <x:f>IF($B67="","",IFERROR(INDEX('계약'!$H$5:$H$204,MATCH($B67,'계약'!$B$5:$B$204,0)),""))</x:f>
      </x:c>
      <x:c r="H67" s="276" t="str">
        <x:f>IF($B67="","",IFERROR(INDEX('계약'!$I$5:$I$204,MATCH($B67,'계약'!$B$5:$B$204,0)),""))</x:f>
      </x:c>
      <x:c r="I67" s="35" t="str">
        <x:f>IF(H67="","",IF(H67&lt;'요약'!$B$2,"만료",(YEAR(H67)-YEAR('요약'!$B$2))*12+MONTH(H67)-MONTH('요약'!$B$2)))</x:f>
      </x:c>
      <x:c r="J67" s="279" t="str">
        <x:f>IF($B67="","",IFERROR(INDEX('계약'!$K$5:$K$204,MATCH($B67,'계약'!$B$5:$B$204,0)),""))</x:f>
      </x:c>
      <x:c r="K67" s="279" t="str">
        <x:f>IF($B67="","",IFERROR(INDEX('계약'!$L$5:$L$204,MATCH($B67,'계약'!$B$5:$B$204,0)),""))</x:f>
      </x:c>
      <x:c r="L67" s="279" t="str">
        <x:f>IF($B67="","",IFERROR(INDEX('수납'!$E$5:$E$204,MATCH($B67,'수납'!$B$5:$B$204,0)),0))</x:f>
      </x:c>
      <x:c r="M67" s="35" t="str">
        <x:f>IF($B67="","",IFERROR(INDEX('수납'!$D$5:$D$204,MATCH($B67,'수납'!$B$5:$B$204,0)),0))</x:f>
      </x:c>
      <x:c r="N67" s="35" t="str">
        <x:f>IF($B67="","",IFERROR(INDEX('계약'!$M$5:$M$204,MATCH($B67,'계약'!$B$5:$B$204,0)),""))</x:f>
      </x:c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  <x:c r="AA67" s="1"/>
      <x:c r="AB67" s="1"/>
      <x:c r="AC67" s="1"/>
      <x:c r="AD67" s="1"/>
      <x:c r="AE67" s="1"/>
    </x:row>
    <x:row r="68" ht="18" customHeight="1">
      <x:c r="A68" s="273" t="str">
        <x:f>IF(B68="","",64)</x:f>
      </x:c>
      <x:c r="B68" s="35" t="str">
        <x:f>IFERROR(INDEX('자산'!$B$5:$B$204,MATCH(64,'자산'!$Z$5:$Z$204,0)),"")</x:f>
      </x:c>
      <x:c r="C68" s="35" t="str">
        <x:f>IF($B68="","",IFERROR(INDEX('자산'!$C$5:$C$204,MATCH($B68,'자산'!$B$5:$B$204,0)),""))</x:f>
      </x:c>
      <x:c r="D68" s="273" t="str">
        <x:f>IF($B68="","",IFERROR(INDEX('자산'!$D$5:$D$204,MATCH($B68,'자산'!$B$5:$B$204,0)),""))</x:f>
      </x:c>
      <x:c r="E68" s="273" t="str">
        <x:f>IF(B68="","",IF(IF($B68="","",IFERROR(INDEX('계약'!$G$5:$G$204,MATCH($B68,'계약'!$B$5:$B$204,0)),""))&lt;&gt;"","대여중","쉬는차"))</x:f>
      </x:c>
      <x:c r="F68" s="35" t="str">
        <x:f>IF($B68="","",IFERROR(INDEX('계약'!$G$5:$G$204,MATCH($B68,'계약'!$B$5:$B$204,0)),""))</x:f>
      </x:c>
      <x:c r="G68" s="276" t="str">
        <x:f>IF($B68="","",IFERROR(INDEX('계약'!$H$5:$H$204,MATCH($B68,'계약'!$B$5:$B$204,0)),""))</x:f>
      </x:c>
      <x:c r="H68" s="276" t="str">
        <x:f>IF($B68="","",IFERROR(INDEX('계약'!$I$5:$I$204,MATCH($B68,'계약'!$B$5:$B$204,0)),""))</x:f>
      </x:c>
      <x:c r="I68" s="35" t="str">
        <x:f>IF(H68="","",IF(H68&lt;'요약'!$B$2,"만료",(YEAR(H68)-YEAR('요약'!$B$2))*12+MONTH(H68)-MONTH('요약'!$B$2)))</x:f>
      </x:c>
      <x:c r="J68" s="279" t="str">
        <x:f>IF($B68="","",IFERROR(INDEX('계약'!$K$5:$K$204,MATCH($B68,'계약'!$B$5:$B$204,0)),""))</x:f>
      </x:c>
      <x:c r="K68" s="279" t="str">
        <x:f>IF($B68="","",IFERROR(INDEX('계약'!$L$5:$L$204,MATCH($B68,'계약'!$B$5:$B$204,0)),""))</x:f>
      </x:c>
      <x:c r="L68" s="279" t="str">
        <x:f>IF($B68="","",IFERROR(INDEX('수납'!$E$5:$E$204,MATCH($B68,'수납'!$B$5:$B$204,0)),0))</x:f>
      </x:c>
      <x:c r="M68" s="35" t="str">
        <x:f>IF($B68="","",IFERROR(INDEX('수납'!$D$5:$D$204,MATCH($B68,'수납'!$B$5:$B$204,0)),0))</x:f>
      </x:c>
      <x:c r="N68" s="35" t="str">
        <x:f>IF($B68="","",IFERROR(INDEX('계약'!$M$5:$M$204,MATCH($B68,'계약'!$B$5:$B$204,0)),""))</x:f>
      </x:c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  <x:c r="AA68" s="1"/>
      <x:c r="AB68" s="1"/>
      <x:c r="AC68" s="1"/>
      <x:c r="AD68" s="1"/>
      <x:c r="AE68" s="1"/>
    </x:row>
    <x:row r="69" ht="18" customHeight="1">
      <x:c r="A69" s="273" t="str">
        <x:f>IF(B69="","",65)</x:f>
      </x:c>
      <x:c r="B69" s="35" t="str">
        <x:f>IFERROR(INDEX('자산'!$B$5:$B$204,MATCH(65,'자산'!$Z$5:$Z$204,0)),"")</x:f>
      </x:c>
      <x:c r="C69" s="35" t="str">
        <x:f>IF($B69="","",IFERROR(INDEX('자산'!$C$5:$C$204,MATCH($B69,'자산'!$B$5:$B$204,0)),""))</x:f>
      </x:c>
      <x:c r="D69" s="273" t="str">
        <x:f>IF($B69="","",IFERROR(INDEX('자산'!$D$5:$D$204,MATCH($B69,'자산'!$B$5:$B$204,0)),""))</x:f>
      </x:c>
      <x:c r="E69" s="273" t="str">
        <x:f>IF(B69="","",IF(IF($B69="","",IFERROR(INDEX('계약'!$G$5:$G$204,MATCH($B69,'계약'!$B$5:$B$204,0)),""))&lt;&gt;"","대여중","쉬는차"))</x:f>
      </x:c>
      <x:c r="F69" s="35" t="str">
        <x:f>IF($B69="","",IFERROR(INDEX('계약'!$G$5:$G$204,MATCH($B69,'계약'!$B$5:$B$204,0)),""))</x:f>
      </x:c>
      <x:c r="G69" s="276" t="str">
        <x:f>IF($B69="","",IFERROR(INDEX('계약'!$H$5:$H$204,MATCH($B69,'계약'!$B$5:$B$204,0)),""))</x:f>
      </x:c>
      <x:c r="H69" s="276" t="str">
        <x:f>IF($B69="","",IFERROR(INDEX('계약'!$I$5:$I$204,MATCH($B69,'계약'!$B$5:$B$204,0)),""))</x:f>
      </x:c>
      <x:c r="I69" s="35" t="str">
        <x:f>IF(H69="","",IF(H69&lt;'요약'!$B$2,"만료",(YEAR(H69)-YEAR('요약'!$B$2))*12+MONTH(H69)-MONTH('요약'!$B$2)))</x:f>
      </x:c>
      <x:c r="J69" s="279" t="str">
        <x:f>IF($B69="","",IFERROR(INDEX('계약'!$K$5:$K$204,MATCH($B69,'계약'!$B$5:$B$204,0)),""))</x:f>
      </x:c>
      <x:c r="K69" s="279" t="str">
        <x:f>IF($B69="","",IFERROR(INDEX('계약'!$L$5:$L$204,MATCH($B69,'계약'!$B$5:$B$204,0)),""))</x:f>
      </x:c>
      <x:c r="L69" s="279" t="str">
        <x:f>IF($B69="","",IFERROR(INDEX('수납'!$E$5:$E$204,MATCH($B69,'수납'!$B$5:$B$204,0)),0))</x:f>
      </x:c>
      <x:c r="M69" s="35" t="str">
        <x:f>IF($B69="","",IFERROR(INDEX('수납'!$D$5:$D$204,MATCH($B69,'수납'!$B$5:$B$204,0)),0))</x:f>
      </x:c>
      <x:c r="N69" s="35" t="str">
        <x:f>IF($B69="","",IFERROR(INDEX('계약'!$M$5:$M$204,MATCH($B69,'계약'!$B$5:$B$204,0)),""))</x:f>
      </x:c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  <x:c r="AA69" s="1"/>
      <x:c r="AB69" s="1"/>
      <x:c r="AC69" s="1"/>
      <x:c r="AD69" s="1"/>
      <x:c r="AE69" s="1"/>
    </x:row>
    <x:row r="70" ht="18" customHeight="1">
      <x:c r="A70" s="273" t="str">
        <x:f>IF(B70="","",66)</x:f>
      </x:c>
      <x:c r="B70" s="35" t="str">
        <x:f>IFERROR(INDEX('자산'!$B$5:$B$204,MATCH(66,'자산'!$Z$5:$Z$204,0)),"")</x:f>
      </x:c>
      <x:c r="C70" s="35" t="str">
        <x:f>IF($B70="","",IFERROR(INDEX('자산'!$C$5:$C$204,MATCH($B70,'자산'!$B$5:$B$204,0)),""))</x:f>
      </x:c>
      <x:c r="D70" s="273" t="str">
        <x:f>IF($B70="","",IFERROR(INDEX('자산'!$D$5:$D$204,MATCH($B70,'자산'!$B$5:$B$204,0)),""))</x:f>
      </x:c>
      <x:c r="E70" s="273" t="str">
        <x:f>IF(B70="","",IF(IF($B70="","",IFERROR(INDEX('계약'!$G$5:$G$204,MATCH($B70,'계약'!$B$5:$B$204,0)),""))&lt;&gt;"","대여중","쉬는차"))</x:f>
      </x:c>
      <x:c r="F70" s="35" t="str">
        <x:f>IF($B70="","",IFERROR(INDEX('계약'!$G$5:$G$204,MATCH($B70,'계약'!$B$5:$B$204,0)),""))</x:f>
      </x:c>
      <x:c r="G70" s="276" t="str">
        <x:f>IF($B70="","",IFERROR(INDEX('계약'!$H$5:$H$204,MATCH($B70,'계약'!$B$5:$B$204,0)),""))</x:f>
      </x:c>
      <x:c r="H70" s="276" t="str">
        <x:f>IF($B70="","",IFERROR(INDEX('계약'!$I$5:$I$204,MATCH($B70,'계약'!$B$5:$B$204,0)),""))</x:f>
      </x:c>
      <x:c r="I70" s="35" t="str">
        <x:f>IF(H70="","",IF(H70&lt;'요약'!$B$2,"만료",(YEAR(H70)-YEAR('요약'!$B$2))*12+MONTH(H70)-MONTH('요약'!$B$2)))</x:f>
      </x:c>
      <x:c r="J70" s="279" t="str">
        <x:f>IF($B70="","",IFERROR(INDEX('계약'!$K$5:$K$204,MATCH($B70,'계약'!$B$5:$B$204,0)),""))</x:f>
      </x:c>
      <x:c r="K70" s="279" t="str">
        <x:f>IF($B70="","",IFERROR(INDEX('계약'!$L$5:$L$204,MATCH($B70,'계약'!$B$5:$B$204,0)),""))</x:f>
      </x:c>
      <x:c r="L70" s="279" t="str">
        <x:f>IF($B70="","",IFERROR(INDEX('수납'!$E$5:$E$204,MATCH($B70,'수납'!$B$5:$B$204,0)),0))</x:f>
      </x:c>
      <x:c r="M70" s="35" t="str">
        <x:f>IF($B70="","",IFERROR(INDEX('수납'!$D$5:$D$204,MATCH($B70,'수납'!$B$5:$B$204,0)),0))</x:f>
      </x:c>
      <x:c r="N70" s="35" t="str">
        <x:f>IF($B70="","",IFERROR(INDEX('계약'!$M$5:$M$204,MATCH($B70,'계약'!$B$5:$B$204,0)),""))</x:f>
      </x:c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  <x:c r="AA70" s="1"/>
      <x:c r="AB70" s="1"/>
      <x:c r="AC70" s="1"/>
      <x:c r="AD70" s="1"/>
      <x:c r="AE70" s="1"/>
    </x:row>
    <x:row r="71" ht="18" customHeight="1">
      <x:c r="A71" s="273" t="str">
        <x:f>IF(B71="","",67)</x:f>
      </x:c>
      <x:c r="B71" s="35" t="str">
        <x:f>IFERROR(INDEX('자산'!$B$5:$B$204,MATCH(67,'자산'!$Z$5:$Z$204,0)),"")</x:f>
      </x:c>
      <x:c r="C71" s="35" t="str">
        <x:f>IF($B71="","",IFERROR(INDEX('자산'!$C$5:$C$204,MATCH($B71,'자산'!$B$5:$B$204,0)),""))</x:f>
      </x:c>
      <x:c r="D71" s="273" t="str">
        <x:f>IF($B71="","",IFERROR(INDEX('자산'!$D$5:$D$204,MATCH($B71,'자산'!$B$5:$B$204,0)),""))</x:f>
      </x:c>
      <x:c r="E71" s="273" t="str">
        <x:f>IF(B71="","",IF(IF($B71="","",IFERROR(INDEX('계약'!$G$5:$G$204,MATCH($B71,'계약'!$B$5:$B$204,0)),""))&lt;&gt;"","대여중","쉬는차"))</x:f>
      </x:c>
      <x:c r="F71" s="35" t="str">
        <x:f>IF($B71="","",IFERROR(INDEX('계약'!$G$5:$G$204,MATCH($B71,'계약'!$B$5:$B$204,0)),""))</x:f>
      </x:c>
      <x:c r="G71" s="276" t="str">
        <x:f>IF($B71="","",IFERROR(INDEX('계약'!$H$5:$H$204,MATCH($B71,'계약'!$B$5:$B$204,0)),""))</x:f>
      </x:c>
      <x:c r="H71" s="276" t="str">
        <x:f>IF($B71="","",IFERROR(INDEX('계약'!$I$5:$I$204,MATCH($B71,'계약'!$B$5:$B$204,0)),""))</x:f>
      </x:c>
      <x:c r="I71" s="35" t="str">
        <x:f>IF(H71="","",IF(H71&lt;'요약'!$B$2,"만료",(YEAR(H71)-YEAR('요약'!$B$2))*12+MONTH(H71)-MONTH('요약'!$B$2)))</x:f>
      </x:c>
      <x:c r="J71" s="279" t="str">
        <x:f>IF($B71="","",IFERROR(INDEX('계약'!$K$5:$K$204,MATCH($B71,'계약'!$B$5:$B$204,0)),""))</x:f>
      </x:c>
      <x:c r="K71" s="279" t="str">
        <x:f>IF($B71="","",IFERROR(INDEX('계약'!$L$5:$L$204,MATCH($B71,'계약'!$B$5:$B$204,0)),""))</x:f>
      </x:c>
      <x:c r="L71" s="279" t="str">
        <x:f>IF($B71="","",IFERROR(INDEX('수납'!$E$5:$E$204,MATCH($B71,'수납'!$B$5:$B$204,0)),0))</x:f>
      </x:c>
      <x:c r="M71" s="35" t="str">
        <x:f>IF($B71="","",IFERROR(INDEX('수납'!$D$5:$D$204,MATCH($B71,'수납'!$B$5:$B$204,0)),0))</x:f>
      </x:c>
      <x:c r="N71" s="35" t="str">
        <x:f>IF($B71="","",IFERROR(INDEX('계약'!$M$5:$M$204,MATCH($B71,'계약'!$B$5:$B$204,0)),""))</x:f>
      </x:c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  <x:c r="AA71" s="1"/>
      <x:c r="AB71" s="1"/>
      <x:c r="AC71" s="1"/>
      <x:c r="AD71" s="1"/>
      <x:c r="AE71" s="1"/>
    </x:row>
    <x:row r="72" ht="18" customHeight="1">
      <x:c r="A72" s="273" t="str">
        <x:f>IF(B72="","",68)</x:f>
      </x:c>
      <x:c r="B72" s="35" t="str">
        <x:f>IFERROR(INDEX('자산'!$B$5:$B$204,MATCH(68,'자산'!$Z$5:$Z$204,0)),"")</x:f>
      </x:c>
      <x:c r="C72" s="35" t="str">
        <x:f>IF($B72="","",IFERROR(INDEX('자산'!$C$5:$C$204,MATCH($B72,'자산'!$B$5:$B$204,0)),""))</x:f>
      </x:c>
      <x:c r="D72" s="273" t="str">
        <x:f>IF($B72="","",IFERROR(INDEX('자산'!$D$5:$D$204,MATCH($B72,'자산'!$B$5:$B$204,0)),""))</x:f>
      </x:c>
      <x:c r="E72" s="273" t="str">
        <x:f>IF(B72="","",IF(IF($B72="","",IFERROR(INDEX('계약'!$G$5:$G$204,MATCH($B72,'계약'!$B$5:$B$204,0)),""))&lt;&gt;"","대여중","쉬는차"))</x:f>
      </x:c>
      <x:c r="F72" s="35" t="str">
        <x:f>IF($B72="","",IFERROR(INDEX('계약'!$G$5:$G$204,MATCH($B72,'계약'!$B$5:$B$204,0)),""))</x:f>
      </x:c>
      <x:c r="G72" s="276" t="str">
        <x:f>IF($B72="","",IFERROR(INDEX('계약'!$H$5:$H$204,MATCH($B72,'계약'!$B$5:$B$204,0)),""))</x:f>
      </x:c>
      <x:c r="H72" s="276" t="str">
        <x:f>IF($B72="","",IFERROR(INDEX('계약'!$I$5:$I$204,MATCH($B72,'계약'!$B$5:$B$204,0)),""))</x:f>
      </x:c>
      <x:c r="I72" s="35" t="str">
        <x:f>IF(H72="","",IF(H72&lt;'요약'!$B$2,"만료",(YEAR(H72)-YEAR('요약'!$B$2))*12+MONTH(H72)-MONTH('요약'!$B$2)))</x:f>
      </x:c>
      <x:c r="J72" s="279" t="str">
        <x:f>IF($B72="","",IFERROR(INDEX('계약'!$K$5:$K$204,MATCH($B72,'계약'!$B$5:$B$204,0)),""))</x:f>
      </x:c>
      <x:c r="K72" s="279" t="str">
        <x:f>IF($B72="","",IFERROR(INDEX('계약'!$L$5:$L$204,MATCH($B72,'계약'!$B$5:$B$204,0)),""))</x:f>
      </x:c>
      <x:c r="L72" s="279" t="str">
        <x:f>IF($B72="","",IFERROR(INDEX('수납'!$E$5:$E$204,MATCH($B72,'수납'!$B$5:$B$204,0)),0))</x:f>
      </x:c>
      <x:c r="M72" s="35" t="str">
        <x:f>IF($B72="","",IFERROR(INDEX('수납'!$D$5:$D$204,MATCH($B72,'수납'!$B$5:$B$204,0)),0))</x:f>
      </x:c>
      <x:c r="N72" s="35" t="str">
        <x:f>IF($B72="","",IFERROR(INDEX('계약'!$M$5:$M$204,MATCH($B72,'계약'!$B$5:$B$204,0)),""))</x:f>
      </x:c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  <x:c r="AA72" s="1"/>
      <x:c r="AB72" s="1"/>
      <x:c r="AC72" s="1"/>
      <x:c r="AD72" s="1"/>
      <x:c r="AE72" s="1"/>
    </x:row>
    <x:row r="73" ht="18" customHeight="1">
      <x:c r="A73" s="273" t="str">
        <x:f>IF(B73="","",69)</x:f>
      </x:c>
      <x:c r="B73" s="35" t="str">
        <x:f>IFERROR(INDEX('자산'!$B$5:$B$204,MATCH(69,'자산'!$Z$5:$Z$204,0)),"")</x:f>
      </x:c>
      <x:c r="C73" s="35" t="str">
        <x:f>IF($B73="","",IFERROR(INDEX('자산'!$C$5:$C$204,MATCH($B73,'자산'!$B$5:$B$204,0)),""))</x:f>
      </x:c>
      <x:c r="D73" s="273" t="str">
        <x:f>IF($B73="","",IFERROR(INDEX('자산'!$D$5:$D$204,MATCH($B73,'자산'!$B$5:$B$204,0)),""))</x:f>
      </x:c>
      <x:c r="E73" s="273" t="str">
        <x:f>IF(B73="","",IF(IF($B73="","",IFERROR(INDEX('계약'!$G$5:$G$204,MATCH($B73,'계약'!$B$5:$B$204,0)),""))&lt;&gt;"","대여중","쉬는차"))</x:f>
      </x:c>
      <x:c r="F73" s="35" t="str">
        <x:f>IF($B73="","",IFERROR(INDEX('계약'!$G$5:$G$204,MATCH($B73,'계약'!$B$5:$B$204,0)),""))</x:f>
      </x:c>
      <x:c r="G73" s="276" t="str">
        <x:f>IF($B73="","",IFERROR(INDEX('계약'!$H$5:$H$204,MATCH($B73,'계약'!$B$5:$B$204,0)),""))</x:f>
      </x:c>
      <x:c r="H73" s="276" t="str">
        <x:f>IF($B73="","",IFERROR(INDEX('계약'!$I$5:$I$204,MATCH($B73,'계약'!$B$5:$B$204,0)),""))</x:f>
      </x:c>
      <x:c r="I73" s="35" t="str">
        <x:f>IF(H73="","",IF(H73&lt;'요약'!$B$2,"만료",(YEAR(H73)-YEAR('요약'!$B$2))*12+MONTH(H73)-MONTH('요약'!$B$2)))</x:f>
      </x:c>
      <x:c r="J73" s="279" t="str">
        <x:f>IF($B73="","",IFERROR(INDEX('계약'!$K$5:$K$204,MATCH($B73,'계약'!$B$5:$B$204,0)),""))</x:f>
      </x:c>
      <x:c r="K73" s="279" t="str">
        <x:f>IF($B73="","",IFERROR(INDEX('계약'!$L$5:$L$204,MATCH($B73,'계약'!$B$5:$B$204,0)),""))</x:f>
      </x:c>
      <x:c r="L73" s="279" t="str">
        <x:f>IF($B73="","",IFERROR(INDEX('수납'!$E$5:$E$204,MATCH($B73,'수납'!$B$5:$B$204,0)),0))</x:f>
      </x:c>
      <x:c r="M73" s="35" t="str">
        <x:f>IF($B73="","",IFERROR(INDEX('수납'!$D$5:$D$204,MATCH($B73,'수납'!$B$5:$B$204,0)),0))</x:f>
      </x:c>
      <x:c r="N73" s="35" t="str">
        <x:f>IF($B73="","",IFERROR(INDEX('계약'!$M$5:$M$204,MATCH($B73,'계약'!$B$5:$B$204,0)),""))</x:f>
      </x:c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  <x:c r="AA73" s="1"/>
      <x:c r="AB73" s="1"/>
      <x:c r="AC73" s="1"/>
      <x:c r="AD73" s="1"/>
      <x:c r="AE73" s="1"/>
    </x:row>
    <x:row r="74" ht="18" customHeight="1">
      <x:c r="A74" s="273" t="str">
        <x:f>IF(B74="","",70)</x:f>
      </x:c>
      <x:c r="B74" s="35" t="str">
        <x:f>IFERROR(INDEX('자산'!$B$5:$B$204,MATCH(70,'자산'!$Z$5:$Z$204,0)),"")</x:f>
      </x:c>
      <x:c r="C74" s="35" t="str">
        <x:f>IF($B74="","",IFERROR(INDEX('자산'!$C$5:$C$204,MATCH($B74,'자산'!$B$5:$B$204,0)),""))</x:f>
      </x:c>
      <x:c r="D74" s="273" t="str">
        <x:f>IF($B74="","",IFERROR(INDEX('자산'!$D$5:$D$204,MATCH($B74,'자산'!$B$5:$B$204,0)),""))</x:f>
      </x:c>
      <x:c r="E74" s="273" t="str">
        <x:f>IF(B74="","",IF(IF($B74="","",IFERROR(INDEX('계약'!$G$5:$G$204,MATCH($B74,'계약'!$B$5:$B$204,0)),""))&lt;&gt;"","대여중","쉬는차"))</x:f>
      </x:c>
      <x:c r="F74" s="35" t="str">
        <x:f>IF($B74="","",IFERROR(INDEX('계약'!$G$5:$G$204,MATCH($B74,'계약'!$B$5:$B$204,0)),""))</x:f>
      </x:c>
      <x:c r="G74" s="276" t="str">
        <x:f>IF($B74="","",IFERROR(INDEX('계약'!$H$5:$H$204,MATCH($B74,'계약'!$B$5:$B$204,0)),""))</x:f>
      </x:c>
      <x:c r="H74" s="276" t="str">
        <x:f>IF($B74="","",IFERROR(INDEX('계약'!$I$5:$I$204,MATCH($B74,'계약'!$B$5:$B$204,0)),""))</x:f>
      </x:c>
      <x:c r="I74" s="35" t="str">
        <x:f>IF(H74="","",IF(H74&lt;'요약'!$B$2,"만료",(YEAR(H74)-YEAR('요약'!$B$2))*12+MONTH(H74)-MONTH('요약'!$B$2)))</x:f>
      </x:c>
      <x:c r="J74" s="279" t="str">
        <x:f>IF($B74="","",IFERROR(INDEX('계약'!$K$5:$K$204,MATCH($B74,'계약'!$B$5:$B$204,0)),""))</x:f>
      </x:c>
      <x:c r="K74" s="279" t="str">
        <x:f>IF($B74="","",IFERROR(INDEX('계약'!$L$5:$L$204,MATCH($B74,'계약'!$B$5:$B$204,0)),""))</x:f>
      </x:c>
      <x:c r="L74" s="279" t="str">
        <x:f>IF($B74="","",IFERROR(INDEX('수납'!$E$5:$E$204,MATCH($B74,'수납'!$B$5:$B$204,0)),0))</x:f>
      </x:c>
      <x:c r="M74" s="35" t="str">
        <x:f>IF($B74="","",IFERROR(INDEX('수납'!$D$5:$D$204,MATCH($B74,'수납'!$B$5:$B$204,0)),0))</x:f>
      </x:c>
      <x:c r="N74" s="35" t="str">
        <x:f>IF($B74="","",IFERROR(INDEX('계약'!$M$5:$M$204,MATCH($B74,'계약'!$B$5:$B$204,0)),""))</x:f>
      </x:c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  <x:c r="AA74" s="1"/>
      <x:c r="AB74" s="1"/>
      <x:c r="AC74" s="1"/>
      <x:c r="AD74" s="1"/>
      <x:c r="AE74" s="1"/>
    </x:row>
    <x:row r="75" ht="18" customHeight="1">
      <x:c r="A75" s="273" t="str">
        <x:f>IF(B75="","",71)</x:f>
      </x:c>
      <x:c r="B75" s="35" t="str">
        <x:f>IFERROR(INDEX('자산'!$B$5:$B$204,MATCH(71,'자산'!$Z$5:$Z$204,0)),"")</x:f>
      </x:c>
      <x:c r="C75" s="35" t="str">
        <x:f>IF($B75="","",IFERROR(INDEX('자산'!$C$5:$C$204,MATCH($B75,'자산'!$B$5:$B$204,0)),""))</x:f>
      </x:c>
      <x:c r="D75" s="273" t="str">
        <x:f>IF($B75="","",IFERROR(INDEX('자산'!$D$5:$D$204,MATCH($B75,'자산'!$B$5:$B$204,0)),""))</x:f>
      </x:c>
      <x:c r="E75" s="273" t="str">
        <x:f>IF(B75="","",IF(IF($B75="","",IFERROR(INDEX('계약'!$G$5:$G$204,MATCH($B75,'계약'!$B$5:$B$204,0)),""))&lt;&gt;"","대여중","쉬는차"))</x:f>
      </x:c>
      <x:c r="F75" s="35" t="str">
        <x:f>IF($B75="","",IFERROR(INDEX('계약'!$G$5:$G$204,MATCH($B75,'계약'!$B$5:$B$204,0)),""))</x:f>
      </x:c>
      <x:c r="G75" s="276" t="str">
        <x:f>IF($B75="","",IFERROR(INDEX('계약'!$H$5:$H$204,MATCH($B75,'계약'!$B$5:$B$204,0)),""))</x:f>
      </x:c>
      <x:c r="H75" s="276" t="str">
        <x:f>IF($B75="","",IFERROR(INDEX('계약'!$I$5:$I$204,MATCH($B75,'계약'!$B$5:$B$204,0)),""))</x:f>
      </x:c>
      <x:c r="I75" s="35" t="str">
        <x:f>IF(H75="","",IF(H75&lt;'요약'!$B$2,"만료",(YEAR(H75)-YEAR('요약'!$B$2))*12+MONTH(H75)-MONTH('요약'!$B$2)))</x:f>
      </x:c>
      <x:c r="J75" s="279" t="str">
        <x:f>IF($B75="","",IFERROR(INDEX('계약'!$K$5:$K$204,MATCH($B75,'계약'!$B$5:$B$204,0)),""))</x:f>
      </x:c>
      <x:c r="K75" s="279" t="str">
        <x:f>IF($B75="","",IFERROR(INDEX('계약'!$L$5:$L$204,MATCH($B75,'계약'!$B$5:$B$204,0)),""))</x:f>
      </x:c>
      <x:c r="L75" s="279" t="str">
        <x:f>IF($B75="","",IFERROR(INDEX('수납'!$E$5:$E$204,MATCH($B75,'수납'!$B$5:$B$204,0)),0))</x:f>
      </x:c>
      <x:c r="M75" s="35" t="str">
        <x:f>IF($B75="","",IFERROR(INDEX('수납'!$D$5:$D$204,MATCH($B75,'수납'!$B$5:$B$204,0)),0))</x:f>
      </x:c>
      <x:c r="N75" s="35" t="str">
        <x:f>IF($B75="","",IFERROR(INDEX('계약'!$M$5:$M$204,MATCH($B75,'계약'!$B$5:$B$204,0)),""))</x:f>
      </x:c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  <x:c r="AA75" s="1"/>
      <x:c r="AB75" s="1"/>
      <x:c r="AC75" s="1"/>
      <x:c r="AD75" s="1"/>
      <x:c r="AE75" s="1"/>
    </x:row>
    <x:row r="76" ht="18" customHeight="1">
      <x:c r="A76" s="273" t="str">
        <x:f>IF(B76="","",72)</x:f>
      </x:c>
      <x:c r="B76" s="35" t="str">
        <x:f>IFERROR(INDEX('자산'!$B$5:$B$204,MATCH(72,'자산'!$Z$5:$Z$204,0)),"")</x:f>
      </x:c>
      <x:c r="C76" s="35" t="str">
        <x:f>IF($B76="","",IFERROR(INDEX('자산'!$C$5:$C$204,MATCH($B76,'자산'!$B$5:$B$204,0)),""))</x:f>
      </x:c>
      <x:c r="D76" s="273" t="str">
        <x:f>IF($B76="","",IFERROR(INDEX('자산'!$D$5:$D$204,MATCH($B76,'자산'!$B$5:$B$204,0)),""))</x:f>
      </x:c>
      <x:c r="E76" s="273" t="str">
        <x:f>IF(B76="","",IF(IF($B76="","",IFERROR(INDEX('계약'!$G$5:$G$204,MATCH($B76,'계약'!$B$5:$B$204,0)),""))&lt;&gt;"","대여중","쉬는차"))</x:f>
      </x:c>
      <x:c r="F76" s="35" t="str">
        <x:f>IF($B76="","",IFERROR(INDEX('계약'!$G$5:$G$204,MATCH($B76,'계약'!$B$5:$B$204,0)),""))</x:f>
      </x:c>
      <x:c r="G76" s="276" t="str">
        <x:f>IF($B76="","",IFERROR(INDEX('계약'!$H$5:$H$204,MATCH($B76,'계약'!$B$5:$B$204,0)),""))</x:f>
      </x:c>
      <x:c r="H76" s="276" t="str">
        <x:f>IF($B76="","",IFERROR(INDEX('계약'!$I$5:$I$204,MATCH($B76,'계약'!$B$5:$B$204,0)),""))</x:f>
      </x:c>
      <x:c r="I76" s="35" t="str">
        <x:f>IF(H76="","",IF(H76&lt;'요약'!$B$2,"만료",(YEAR(H76)-YEAR('요약'!$B$2))*12+MONTH(H76)-MONTH('요약'!$B$2)))</x:f>
      </x:c>
      <x:c r="J76" s="279" t="str">
        <x:f>IF($B76="","",IFERROR(INDEX('계약'!$K$5:$K$204,MATCH($B76,'계약'!$B$5:$B$204,0)),""))</x:f>
      </x:c>
      <x:c r="K76" s="279" t="str">
        <x:f>IF($B76="","",IFERROR(INDEX('계약'!$L$5:$L$204,MATCH($B76,'계약'!$B$5:$B$204,0)),""))</x:f>
      </x:c>
      <x:c r="L76" s="279" t="str">
        <x:f>IF($B76="","",IFERROR(INDEX('수납'!$E$5:$E$204,MATCH($B76,'수납'!$B$5:$B$204,0)),0))</x:f>
      </x:c>
      <x:c r="M76" s="35" t="str">
        <x:f>IF($B76="","",IFERROR(INDEX('수납'!$D$5:$D$204,MATCH($B76,'수납'!$B$5:$B$204,0)),0))</x:f>
      </x:c>
      <x:c r="N76" s="35" t="str">
        <x:f>IF($B76="","",IFERROR(INDEX('계약'!$M$5:$M$204,MATCH($B76,'계약'!$B$5:$B$204,0)),""))</x:f>
      </x:c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  <x:c r="AA76" s="1"/>
      <x:c r="AB76" s="1"/>
      <x:c r="AC76" s="1"/>
      <x:c r="AD76" s="1"/>
      <x:c r="AE76" s="1"/>
    </x:row>
    <x:row r="77" ht="18" customHeight="1">
      <x:c r="A77" s="273" t="str">
        <x:f>IF(B77="","",73)</x:f>
      </x:c>
      <x:c r="B77" s="35" t="str">
        <x:f>IFERROR(INDEX('자산'!$B$5:$B$204,MATCH(73,'자산'!$Z$5:$Z$204,0)),"")</x:f>
      </x:c>
      <x:c r="C77" s="35" t="str">
        <x:f>IF($B77="","",IFERROR(INDEX('자산'!$C$5:$C$204,MATCH($B77,'자산'!$B$5:$B$204,0)),""))</x:f>
      </x:c>
      <x:c r="D77" s="273" t="str">
        <x:f>IF($B77="","",IFERROR(INDEX('자산'!$D$5:$D$204,MATCH($B77,'자산'!$B$5:$B$204,0)),""))</x:f>
      </x:c>
      <x:c r="E77" s="273" t="str">
        <x:f>IF(B77="","",IF(IF($B77="","",IFERROR(INDEX('계약'!$G$5:$G$204,MATCH($B77,'계약'!$B$5:$B$204,0)),""))&lt;&gt;"","대여중","쉬는차"))</x:f>
      </x:c>
      <x:c r="F77" s="35" t="str">
        <x:f>IF($B77="","",IFERROR(INDEX('계약'!$G$5:$G$204,MATCH($B77,'계약'!$B$5:$B$204,0)),""))</x:f>
      </x:c>
      <x:c r="G77" s="276" t="str">
        <x:f>IF($B77="","",IFERROR(INDEX('계약'!$H$5:$H$204,MATCH($B77,'계약'!$B$5:$B$204,0)),""))</x:f>
      </x:c>
      <x:c r="H77" s="276" t="str">
        <x:f>IF($B77="","",IFERROR(INDEX('계약'!$I$5:$I$204,MATCH($B77,'계약'!$B$5:$B$204,0)),""))</x:f>
      </x:c>
      <x:c r="I77" s="35" t="str">
        <x:f>IF(H77="","",IF(H77&lt;'요약'!$B$2,"만료",(YEAR(H77)-YEAR('요약'!$B$2))*12+MONTH(H77)-MONTH('요약'!$B$2)))</x:f>
      </x:c>
      <x:c r="J77" s="279" t="str">
        <x:f>IF($B77="","",IFERROR(INDEX('계약'!$K$5:$K$204,MATCH($B77,'계약'!$B$5:$B$204,0)),""))</x:f>
      </x:c>
      <x:c r="K77" s="279" t="str">
        <x:f>IF($B77="","",IFERROR(INDEX('계약'!$L$5:$L$204,MATCH($B77,'계약'!$B$5:$B$204,0)),""))</x:f>
      </x:c>
      <x:c r="L77" s="279" t="str">
        <x:f>IF($B77="","",IFERROR(INDEX('수납'!$E$5:$E$204,MATCH($B77,'수납'!$B$5:$B$204,0)),0))</x:f>
      </x:c>
      <x:c r="M77" s="35" t="str">
        <x:f>IF($B77="","",IFERROR(INDEX('수납'!$D$5:$D$204,MATCH($B77,'수납'!$B$5:$B$204,0)),0))</x:f>
      </x:c>
      <x:c r="N77" s="35" t="str">
        <x:f>IF($B77="","",IFERROR(INDEX('계약'!$M$5:$M$204,MATCH($B77,'계약'!$B$5:$B$204,0)),""))</x:f>
      </x:c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  <x:c r="AA77" s="1"/>
      <x:c r="AB77" s="1"/>
      <x:c r="AC77" s="1"/>
      <x:c r="AD77" s="1"/>
      <x:c r="AE77" s="1"/>
    </x:row>
    <x:row r="78" ht="18" customHeight="1">
      <x:c r="A78" s="273" t="str">
        <x:f>IF(B78="","",74)</x:f>
      </x:c>
      <x:c r="B78" s="35" t="str">
        <x:f>IFERROR(INDEX('자산'!$B$5:$B$204,MATCH(74,'자산'!$Z$5:$Z$204,0)),"")</x:f>
      </x:c>
      <x:c r="C78" s="35" t="str">
        <x:f>IF($B78="","",IFERROR(INDEX('자산'!$C$5:$C$204,MATCH($B78,'자산'!$B$5:$B$204,0)),""))</x:f>
      </x:c>
      <x:c r="D78" s="273" t="str">
        <x:f>IF($B78="","",IFERROR(INDEX('자산'!$D$5:$D$204,MATCH($B78,'자산'!$B$5:$B$204,0)),""))</x:f>
      </x:c>
      <x:c r="E78" s="273" t="str">
        <x:f>IF(B78="","",IF(IF($B78="","",IFERROR(INDEX('계약'!$G$5:$G$204,MATCH($B78,'계약'!$B$5:$B$204,0)),""))&lt;&gt;"","대여중","쉬는차"))</x:f>
      </x:c>
      <x:c r="F78" s="35" t="str">
        <x:f>IF($B78="","",IFERROR(INDEX('계약'!$G$5:$G$204,MATCH($B78,'계약'!$B$5:$B$204,0)),""))</x:f>
      </x:c>
      <x:c r="G78" s="276" t="str">
        <x:f>IF($B78="","",IFERROR(INDEX('계약'!$H$5:$H$204,MATCH($B78,'계약'!$B$5:$B$204,0)),""))</x:f>
      </x:c>
      <x:c r="H78" s="276" t="str">
        <x:f>IF($B78="","",IFERROR(INDEX('계약'!$I$5:$I$204,MATCH($B78,'계약'!$B$5:$B$204,0)),""))</x:f>
      </x:c>
      <x:c r="I78" s="35" t="str">
        <x:f>IF(H78="","",IF(H78&lt;'요약'!$B$2,"만료",(YEAR(H78)-YEAR('요약'!$B$2))*12+MONTH(H78)-MONTH('요약'!$B$2)))</x:f>
      </x:c>
      <x:c r="J78" s="279" t="str">
        <x:f>IF($B78="","",IFERROR(INDEX('계약'!$K$5:$K$204,MATCH($B78,'계약'!$B$5:$B$204,0)),""))</x:f>
      </x:c>
      <x:c r="K78" s="279" t="str">
        <x:f>IF($B78="","",IFERROR(INDEX('계약'!$L$5:$L$204,MATCH($B78,'계약'!$B$5:$B$204,0)),""))</x:f>
      </x:c>
      <x:c r="L78" s="279" t="str">
        <x:f>IF($B78="","",IFERROR(INDEX('수납'!$E$5:$E$204,MATCH($B78,'수납'!$B$5:$B$204,0)),0))</x:f>
      </x:c>
      <x:c r="M78" s="35" t="str">
        <x:f>IF($B78="","",IFERROR(INDEX('수납'!$D$5:$D$204,MATCH($B78,'수납'!$B$5:$B$204,0)),0))</x:f>
      </x:c>
      <x:c r="N78" s="35" t="str">
        <x:f>IF($B78="","",IFERROR(INDEX('계약'!$M$5:$M$204,MATCH($B78,'계약'!$B$5:$B$204,0)),""))</x:f>
      </x:c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  <x:c r="AA78" s="1"/>
      <x:c r="AB78" s="1"/>
      <x:c r="AC78" s="1"/>
      <x:c r="AD78" s="1"/>
      <x:c r="AE78" s="1"/>
    </x:row>
    <x:row r="79" ht="18" customHeight="1">
      <x:c r="A79" s="273" t="str">
        <x:f>IF(B79="","",75)</x:f>
      </x:c>
      <x:c r="B79" s="35" t="str">
        <x:f>IFERROR(INDEX('자산'!$B$5:$B$204,MATCH(75,'자산'!$Z$5:$Z$204,0)),"")</x:f>
      </x:c>
      <x:c r="C79" s="35" t="str">
        <x:f>IF($B79="","",IFERROR(INDEX('자산'!$C$5:$C$204,MATCH($B79,'자산'!$B$5:$B$204,0)),""))</x:f>
      </x:c>
      <x:c r="D79" s="273" t="str">
        <x:f>IF($B79="","",IFERROR(INDEX('자산'!$D$5:$D$204,MATCH($B79,'자산'!$B$5:$B$204,0)),""))</x:f>
      </x:c>
      <x:c r="E79" s="273" t="str">
        <x:f>IF(B79="","",IF(IF($B79="","",IFERROR(INDEX('계약'!$G$5:$G$204,MATCH($B79,'계약'!$B$5:$B$204,0)),""))&lt;&gt;"","대여중","쉬는차"))</x:f>
      </x:c>
      <x:c r="F79" s="35" t="str">
        <x:f>IF($B79="","",IFERROR(INDEX('계약'!$G$5:$G$204,MATCH($B79,'계약'!$B$5:$B$204,0)),""))</x:f>
      </x:c>
      <x:c r="G79" s="276" t="str">
        <x:f>IF($B79="","",IFERROR(INDEX('계약'!$H$5:$H$204,MATCH($B79,'계약'!$B$5:$B$204,0)),""))</x:f>
      </x:c>
      <x:c r="H79" s="276" t="str">
        <x:f>IF($B79="","",IFERROR(INDEX('계약'!$I$5:$I$204,MATCH($B79,'계약'!$B$5:$B$204,0)),""))</x:f>
      </x:c>
      <x:c r="I79" s="35" t="str">
        <x:f>IF(H79="","",IF(H79&lt;'요약'!$B$2,"만료",(YEAR(H79)-YEAR('요약'!$B$2))*12+MONTH(H79)-MONTH('요약'!$B$2)))</x:f>
      </x:c>
      <x:c r="J79" s="279" t="str">
        <x:f>IF($B79="","",IFERROR(INDEX('계약'!$K$5:$K$204,MATCH($B79,'계약'!$B$5:$B$204,0)),""))</x:f>
      </x:c>
      <x:c r="K79" s="279" t="str">
        <x:f>IF($B79="","",IFERROR(INDEX('계약'!$L$5:$L$204,MATCH($B79,'계약'!$B$5:$B$204,0)),""))</x:f>
      </x:c>
      <x:c r="L79" s="279" t="str">
        <x:f>IF($B79="","",IFERROR(INDEX('수납'!$E$5:$E$204,MATCH($B79,'수납'!$B$5:$B$204,0)),0))</x:f>
      </x:c>
      <x:c r="M79" s="35" t="str">
        <x:f>IF($B79="","",IFERROR(INDEX('수납'!$D$5:$D$204,MATCH($B79,'수납'!$B$5:$B$204,0)),0))</x:f>
      </x:c>
      <x:c r="N79" s="35" t="str">
        <x:f>IF($B79="","",IFERROR(INDEX('계약'!$M$5:$M$204,MATCH($B79,'계약'!$B$5:$B$204,0)),""))</x:f>
      </x:c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  <x:c r="AA79" s="1"/>
      <x:c r="AB79" s="1"/>
      <x:c r="AC79" s="1"/>
      <x:c r="AD79" s="1"/>
      <x:c r="AE79" s="1"/>
    </x:row>
    <x:row r="80" ht="18" customHeight="1">
      <x:c r="A80" s="273" t="str">
        <x:f>IF(B80="","",76)</x:f>
      </x:c>
      <x:c r="B80" s="35" t="str">
        <x:f>IFERROR(INDEX('자산'!$B$5:$B$204,MATCH(76,'자산'!$Z$5:$Z$204,0)),"")</x:f>
      </x:c>
      <x:c r="C80" s="35" t="str">
        <x:f>IF($B80="","",IFERROR(INDEX('자산'!$C$5:$C$204,MATCH($B80,'자산'!$B$5:$B$204,0)),""))</x:f>
      </x:c>
      <x:c r="D80" s="273" t="str">
        <x:f>IF($B80="","",IFERROR(INDEX('자산'!$D$5:$D$204,MATCH($B80,'자산'!$B$5:$B$204,0)),""))</x:f>
      </x:c>
      <x:c r="E80" s="273" t="str">
        <x:f>IF(B80="","",IF(IF($B80="","",IFERROR(INDEX('계약'!$G$5:$G$204,MATCH($B80,'계약'!$B$5:$B$204,0)),""))&lt;&gt;"","대여중","쉬는차"))</x:f>
      </x:c>
      <x:c r="F80" s="35" t="str">
        <x:f>IF($B80="","",IFERROR(INDEX('계약'!$G$5:$G$204,MATCH($B80,'계약'!$B$5:$B$204,0)),""))</x:f>
      </x:c>
      <x:c r="G80" s="276" t="str">
        <x:f>IF($B80="","",IFERROR(INDEX('계약'!$H$5:$H$204,MATCH($B80,'계약'!$B$5:$B$204,0)),""))</x:f>
      </x:c>
      <x:c r="H80" s="276" t="str">
        <x:f>IF($B80="","",IFERROR(INDEX('계약'!$I$5:$I$204,MATCH($B80,'계약'!$B$5:$B$204,0)),""))</x:f>
      </x:c>
      <x:c r="I80" s="35" t="str">
        <x:f>IF(H80="","",IF(H80&lt;'요약'!$B$2,"만료",(YEAR(H80)-YEAR('요약'!$B$2))*12+MONTH(H80)-MONTH('요약'!$B$2)))</x:f>
      </x:c>
      <x:c r="J80" s="279" t="str">
        <x:f>IF($B80="","",IFERROR(INDEX('계약'!$K$5:$K$204,MATCH($B80,'계약'!$B$5:$B$204,0)),""))</x:f>
      </x:c>
      <x:c r="K80" s="279" t="str">
        <x:f>IF($B80="","",IFERROR(INDEX('계약'!$L$5:$L$204,MATCH($B80,'계약'!$B$5:$B$204,0)),""))</x:f>
      </x:c>
      <x:c r="L80" s="279" t="str">
        <x:f>IF($B80="","",IFERROR(INDEX('수납'!$E$5:$E$204,MATCH($B80,'수납'!$B$5:$B$204,0)),0))</x:f>
      </x:c>
      <x:c r="M80" s="35" t="str">
        <x:f>IF($B80="","",IFERROR(INDEX('수납'!$D$5:$D$204,MATCH($B80,'수납'!$B$5:$B$204,0)),0))</x:f>
      </x:c>
      <x:c r="N80" s="35" t="str">
        <x:f>IF($B80="","",IFERROR(INDEX('계약'!$M$5:$M$204,MATCH($B80,'계약'!$B$5:$B$204,0)),""))</x:f>
      </x:c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  <x:c r="AA80" s="1"/>
      <x:c r="AB80" s="1"/>
      <x:c r="AC80" s="1"/>
      <x:c r="AD80" s="1"/>
      <x:c r="AE80" s="1"/>
    </x:row>
    <x:row r="81" ht="18" customHeight="1">
      <x:c r="A81" s="273" t="str">
        <x:f>IF(B81="","",77)</x:f>
      </x:c>
      <x:c r="B81" s="35" t="str">
        <x:f>IFERROR(INDEX('자산'!$B$5:$B$204,MATCH(77,'자산'!$Z$5:$Z$204,0)),"")</x:f>
      </x:c>
      <x:c r="C81" s="35" t="str">
        <x:f>IF($B81="","",IFERROR(INDEX('자산'!$C$5:$C$204,MATCH($B81,'자산'!$B$5:$B$204,0)),""))</x:f>
      </x:c>
      <x:c r="D81" s="273" t="str">
        <x:f>IF($B81="","",IFERROR(INDEX('자산'!$D$5:$D$204,MATCH($B81,'자산'!$B$5:$B$204,0)),""))</x:f>
      </x:c>
      <x:c r="E81" s="273" t="str">
        <x:f>IF(B81="","",IF(IF($B81="","",IFERROR(INDEX('계약'!$G$5:$G$204,MATCH($B81,'계약'!$B$5:$B$204,0)),""))&lt;&gt;"","대여중","쉬는차"))</x:f>
      </x:c>
      <x:c r="F81" s="35" t="str">
        <x:f>IF($B81="","",IFERROR(INDEX('계약'!$G$5:$G$204,MATCH($B81,'계약'!$B$5:$B$204,0)),""))</x:f>
      </x:c>
      <x:c r="G81" s="276" t="str">
        <x:f>IF($B81="","",IFERROR(INDEX('계약'!$H$5:$H$204,MATCH($B81,'계약'!$B$5:$B$204,0)),""))</x:f>
      </x:c>
      <x:c r="H81" s="276" t="str">
        <x:f>IF($B81="","",IFERROR(INDEX('계약'!$I$5:$I$204,MATCH($B81,'계약'!$B$5:$B$204,0)),""))</x:f>
      </x:c>
      <x:c r="I81" s="35" t="str">
        <x:f>IF(H81="","",IF(H81&lt;'요약'!$B$2,"만료",(YEAR(H81)-YEAR('요약'!$B$2))*12+MONTH(H81)-MONTH('요약'!$B$2)))</x:f>
      </x:c>
      <x:c r="J81" s="279" t="str">
        <x:f>IF($B81="","",IFERROR(INDEX('계약'!$K$5:$K$204,MATCH($B81,'계약'!$B$5:$B$204,0)),""))</x:f>
      </x:c>
      <x:c r="K81" s="279" t="str">
        <x:f>IF($B81="","",IFERROR(INDEX('계약'!$L$5:$L$204,MATCH($B81,'계약'!$B$5:$B$204,0)),""))</x:f>
      </x:c>
      <x:c r="L81" s="279" t="str">
        <x:f>IF($B81="","",IFERROR(INDEX('수납'!$E$5:$E$204,MATCH($B81,'수납'!$B$5:$B$204,0)),0))</x:f>
      </x:c>
      <x:c r="M81" s="35" t="str">
        <x:f>IF($B81="","",IFERROR(INDEX('수납'!$D$5:$D$204,MATCH($B81,'수납'!$B$5:$B$204,0)),0))</x:f>
      </x:c>
      <x:c r="N81" s="35" t="str">
        <x:f>IF($B81="","",IFERROR(INDEX('계약'!$M$5:$M$204,MATCH($B81,'계약'!$B$5:$B$204,0)),""))</x:f>
      </x:c>
      <x:c r="O81" s="1"/>
      <x:c r="P81" s="1"/>
      <x:c r="Q81" s="1"/>
      <x:c r="R81" s="1"/>
      <x:c r="S81" s="1"/>
      <x:c r="T81" s="1"/>
      <x:c r="U81" s="1"/>
      <x:c r="V81" s="1"/>
      <x:c r="W81" s="1"/>
      <x:c r="X81" s="1"/>
      <x:c r="Y81" s="1"/>
      <x:c r="Z81" s="1"/>
      <x:c r="AA81" s="1"/>
      <x:c r="AB81" s="1"/>
      <x:c r="AC81" s="1"/>
      <x:c r="AD81" s="1"/>
      <x:c r="AE81" s="1"/>
    </x:row>
    <x:row r="82" ht="18" customHeight="1">
      <x:c r="A82" s="273" t="str">
        <x:f>IF(B82="","",78)</x:f>
      </x:c>
      <x:c r="B82" s="35" t="str">
        <x:f>IFERROR(INDEX('자산'!$B$5:$B$204,MATCH(78,'자산'!$Z$5:$Z$204,0)),"")</x:f>
      </x:c>
      <x:c r="C82" s="35" t="str">
        <x:f>IF($B82="","",IFERROR(INDEX('자산'!$C$5:$C$204,MATCH($B82,'자산'!$B$5:$B$204,0)),""))</x:f>
      </x:c>
      <x:c r="D82" s="273" t="str">
        <x:f>IF($B82="","",IFERROR(INDEX('자산'!$D$5:$D$204,MATCH($B82,'자산'!$B$5:$B$204,0)),""))</x:f>
      </x:c>
      <x:c r="E82" s="273" t="str">
        <x:f>IF(B82="","",IF(IF($B82="","",IFERROR(INDEX('계약'!$G$5:$G$204,MATCH($B82,'계약'!$B$5:$B$204,0)),""))&lt;&gt;"","대여중","쉬는차"))</x:f>
      </x:c>
      <x:c r="F82" s="35" t="str">
        <x:f>IF($B82="","",IFERROR(INDEX('계약'!$G$5:$G$204,MATCH($B82,'계약'!$B$5:$B$204,0)),""))</x:f>
      </x:c>
      <x:c r="G82" s="276" t="str">
        <x:f>IF($B82="","",IFERROR(INDEX('계약'!$H$5:$H$204,MATCH($B82,'계약'!$B$5:$B$204,0)),""))</x:f>
      </x:c>
      <x:c r="H82" s="276" t="str">
        <x:f>IF($B82="","",IFERROR(INDEX('계약'!$I$5:$I$204,MATCH($B82,'계약'!$B$5:$B$204,0)),""))</x:f>
      </x:c>
      <x:c r="I82" s="35" t="str">
        <x:f>IF(H82="","",IF(H82&lt;'요약'!$B$2,"만료",(YEAR(H82)-YEAR('요약'!$B$2))*12+MONTH(H82)-MONTH('요약'!$B$2)))</x:f>
      </x:c>
      <x:c r="J82" s="279" t="str">
        <x:f>IF($B82="","",IFERROR(INDEX('계약'!$K$5:$K$204,MATCH($B82,'계약'!$B$5:$B$204,0)),""))</x:f>
      </x:c>
      <x:c r="K82" s="279" t="str">
        <x:f>IF($B82="","",IFERROR(INDEX('계약'!$L$5:$L$204,MATCH($B82,'계약'!$B$5:$B$204,0)),""))</x:f>
      </x:c>
      <x:c r="L82" s="279" t="str">
        <x:f>IF($B82="","",IFERROR(INDEX('수납'!$E$5:$E$204,MATCH($B82,'수납'!$B$5:$B$204,0)),0))</x:f>
      </x:c>
      <x:c r="M82" s="35" t="str">
        <x:f>IF($B82="","",IFERROR(INDEX('수납'!$D$5:$D$204,MATCH($B82,'수납'!$B$5:$B$204,0)),0))</x:f>
      </x:c>
      <x:c r="N82" s="35" t="str">
        <x:f>IF($B82="","",IFERROR(INDEX('계약'!$M$5:$M$204,MATCH($B82,'계약'!$B$5:$B$204,0)),""))</x:f>
      </x:c>
      <x:c r="O82" s="1"/>
      <x:c r="P82" s="1"/>
      <x:c r="Q82" s="1"/>
      <x:c r="R82" s="1"/>
      <x:c r="S82" s="1"/>
      <x:c r="T82" s="1"/>
      <x:c r="U82" s="1"/>
      <x:c r="V82" s="1"/>
      <x:c r="W82" s="1"/>
      <x:c r="X82" s="1"/>
      <x:c r="Y82" s="1"/>
      <x:c r="Z82" s="1"/>
      <x:c r="AA82" s="1"/>
      <x:c r="AB82" s="1"/>
      <x:c r="AC82" s="1"/>
      <x:c r="AD82" s="1"/>
      <x:c r="AE82" s="1"/>
    </x:row>
    <x:row r="83" ht="18" customHeight="1">
      <x:c r="A83" s="273" t="str">
        <x:f>IF(B83="","",79)</x:f>
      </x:c>
      <x:c r="B83" s="35" t="str">
        <x:f>IFERROR(INDEX('자산'!$B$5:$B$204,MATCH(79,'자산'!$Z$5:$Z$204,0)),"")</x:f>
      </x:c>
      <x:c r="C83" s="35" t="str">
        <x:f>IF($B83="","",IFERROR(INDEX('자산'!$C$5:$C$204,MATCH($B83,'자산'!$B$5:$B$204,0)),""))</x:f>
      </x:c>
      <x:c r="D83" s="273" t="str">
        <x:f>IF($B83="","",IFERROR(INDEX('자산'!$D$5:$D$204,MATCH($B83,'자산'!$B$5:$B$204,0)),""))</x:f>
      </x:c>
      <x:c r="E83" s="273" t="str">
        <x:f>IF(B83="","",IF(IF($B83="","",IFERROR(INDEX('계약'!$G$5:$G$204,MATCH($B83,'계약'!$B$5:$B$204,0)),""))&lt;&gt;"","대여중","쉬는차"))</x:f>
      </x:c>
      <x:c r="F83" s="35" t="str">
        <x:f>IF($B83="","",IFERROR(INDEX('계약'!$G$5:$G$204,MATCH($B83,'계약'!$B$5:$B$204,0)),""))</x:f>
      </x:c>
      <x:c r="G83" s="276" t="str">
        <x:f>IF($B83="","",IFERROR(INDEX('계약'!$H$5:$H$204,MATCH($B83,'계약'!$B$5:$B$204,0)),""))</x:f>
      </x:c>
      <x:c r="H83" s="276" t="str">
        <x:f>IF($B83="","",IFERROR(INDEX('계약'!$I$5:$I$204,MATCH($B83,'계약'!$B$5:$B$204,0)),""))</x:f>
      </x:c>
      <x:c r="I83" s="35" t="str">
        <x:f>IF(H83="","",IF(H83&lt;'요약'!$B$2,"만료",(YEAR(H83)-YEAR('요약'!$B$2))*12+MONTH(H83)-MONTH('요약'!$B$2)))</x:f>
      </x:c>
      <x:c r="J83" s="279" t="str">
        <x:f>IF($B83="","",IFERROR(INDEX('계약'!$K$5:$K$204,MATCH($B83,'계약'!$B$5:$B$204,0)),""))</x:f>
      </x:c>
      <x:c r="K83" s="279" t="str">
        <x:f>IF($B83="","",IFERROR(INDEX('계약'!$L$5:$L$204,MATCH($B83,'계약'!$B$5:$B$204,0)),""))</x:f>
      </x:c>
      <x:c r="L83" s="279" t="str">
        <x:f>IF($B83="","",IFERROR(INDEX('수납'!$E$5:$E$204,MATCH($B83,'수납'!$B$5:$B$204,0)),0))</x:f>
      </x:c>
      <x:c r="M83" s="35" t="str">
        <x:f>IF($B83="","",IFERROR(INDEX('수납'!$D$5:$D$204,MATCH($B83,'수납'!$B$5:$B$204,0)),0))</x:f>
      </x:c>
      <x:c r="N83" s="35" t="str">
        <x:f>IF($B83="","",IFERROR(INDEX('계약'!$M$5:$M$204,MATCH($B83,'계약'!$B$5:$B$204,0)),""))</x:f>
      </x:c>
      <x:c r="O83" s="1"/>
      <x:c r="P83" s="1"/>
      <x:c r="Q83" s="1"/>
      <x:c r="R83" s="1"/>
      <x:c r="S83" s="1"/>
      <x:c r="T83" s="1"/>
      <x:c r="U83" s="1"/>
      <x:c r="V83" s="1"/>
      <x:c r="W83" s="1"/>
      <x:c r="X83" s="1"/>
      <x:c r="Y83" s="1"/>
      <x:c r="Z83" s="1"/>
      <x:c r="AA83" s="1"/>
      <x:c r="AB83" s="1"/>
      <x:c r="AC83" s="1"/>
      <x:c r="AD83" s="1"/>
      <x:c r="AE83" s="1"/>
    </x:row>
    <x:row r="84" ht="18" customHeight="1">
      <x:c r="A84" s="273" t="str">
        <x:f>IF(B84="","",80)</x:f>
      </x:c>
      <x:c r="B84" s="35" t="str">
        <x:f>IFERROR(INDEX('자산'!$B$5:$B$204,MATCH(80,'자산'!$Z$5:$Z$204,0)),"")</x:f>
      </x:c>
      <x:c r="C84" s="35" t="str">
        <x:f>IF($B84="","",IFERROR(INDEX('자산'!$C$5:$C$204,MATCH($B84,'자산'!$B$5:$B$204,0)),""))</x:f>
      </x:c>
      <x:c r="D84" s="273" t="str">
        <x:f>IF($B84="","",IFERROR(INDEX('자산'!$D$5:$D$204,MATCH($B84,'자산'!$B$5:$B$204,0)),""))</x:f>
      </x:c>
      <x:c r="E84" s="273" t="str">
        <x:f>IF(B84="","",IF(IF($B84="","",IFERROR(INDEX('계약'!$G$5:$G$204,MATCH($B84,'계약'!$B$5:$B$204,0)),""))&lt;&gt;"","대여중","쉬는차"))</x:f>
      </x:c>
      <x:c r="F84" s="35" t="str">
        <x:f>IF($B84="","",IFERROR(INDEX('계약'!$G$5:$G$204,MATCH($B84,'계약'!$B$5:$B$204,0)),""))</x:f>
      </x:c>
      <x:c r="G84" s="276" t="str">
        <x:f>IF($B84="","",IFERROR(INDEX('계약'!$H$5:$H$204,MATCH($B84,'계약'!$B$5:$B$204,0)),""))</x:f>
      </x:c>
      <x:c r="H84" s="276" t="str">
        <x:f>IF($B84="","",IFERROR(INDEX('계약'!$I$5:$I$204,MATCH($B84,'계약'!$B$5:$B$204,0)),""))</x:f>
      </x:c>
      <x:c r="I84" s="35" t="str">
        <x:f>IF(H84="","",IF(H84&lt;'요약'!$B$2,"만료",(YEAR(H84)-YEAR('요약'!$B$2))*12+MONTH(H84)-MONTH('요약'!$B$2)))</x:f>
      </x:c>
      <x:c r="J84" s="279" t="str">
        <x:f>IF($B84="","",IFERROR(INDEX('계약'!$K$5:$K$204,MATCH($B84,'계약'!$B$5:$B$204,0)),""))</x:f>
      </x:c>
      <x:c r="K84" s="279" t="str">
        <x:f>IF($B84="","",IFERROR(INDEX('계약'!$L$5:$L$204,MATCH($B84,'계약'!$B$5:$B$204,0)),""))</x:f>
      </x:c>
      <x:c r="L84" s="279" t="str">
        <x:f>IF($B84="","",IFERROR(INDEX('수납'!$E$5:$E$204,MATCH($B84,'수납'!$B$5:$B$204,0)),0))</x:f>
      </x:c>
      <x:c r="M84" s="35" t="str">
        <x:f>IF($B84="","",IFERROR(INDEX('수납'!$D$5:$D$204,MATCH($B84,'수납'!$B$5:$B$204,0)),0))</x:f>
      </x:c>
      <x:c r="N84" s="35" t="str">
        <x:f>IF($B84="","",IFERROR(INDEX('계약'!$M$5:$M$204,MATCH($B84,'계약'!$B$5:$B$204,0)),""))</x:f>
      </x:c>
      <x:c r="O84" s="1"/>
      <x:c r="P84" s="1"/>
      <x:c r="Q84" s="1"/>
      <x:c r="R84" s="1"/>
      <x:c r="S84" s="1"/>
      <x:c r="T84" s="1"/>
      <x:c r="U84" s="1"/>
      <x:c r="V84" s="1"/>
      <x:c r="W84" s="1"/>
      <x:c r="X84" s="1"/>
      <x:c r="Y84" s="1"/>
      <x:c r="Z84" s="1"/>
      <x:c r="AA84" s="1"/>
      <x:c r="AB84" s="1"/>
      <x:c r="AC84" s="1"/>
      <x:c r="AD84" s="1"/>
      <x:c r="AE84" s="1"/>
    </x:row>
    <x:row r="85" ht="18" customHeight="1">
      <x:c r="A85" s="273" t="str">
        <x:f>IF(B85="","",81)</x:f>
      </x:c>
      <x:c r="B85" s="35" t="str">
        <x:f>IFERROR(INDEX('자산'!$B$5:$B$204,MATCH(81,'자산'!$Z$5:$Z$204,0)),"")</x:f>
      </x:c>
      <x:c r="C85" s="35" t="str">
        <x:f>IF($B85="","",IFERROR(INDEX('자산'!$C$5:$C$204,MATCH($B85,'자산'!$B$5:$B$204,0)),""))</x:f>
      </x:c>
      <x:c r="D85" s="273" t="str">
        <x:f>IF($B85="","",IFERROR(INDEX('자산'!$D$5:$D$204,MATCH($B85,'자산'!$B$5:$B$204,0)),""))</x:f>
      </x:c>
      <x:c r="E85" s="273" t="str">
        <x:f>IF(B85="","",IF(IF($B85="","",IFERROR(INDEX('계약'!$G$5:$G$204,MATCH($B85,'계약'!$B$5:$B$204,0)),""))&lt;&gt;"","대여중","쉬는차"))</x:f>
      </x:c>
      <x:c r="F85" s="35" t="str">
        <x:f>IF($B85="","",IFERROR(INDEX('계약'!$G$5:$G$204,MATCH($B85,'계약'!$B$5:$B$204,0)),""))</x:f>
      </x:c>
      <x:c r="G85" s="276" t="str">
        <x:f>IF($B85="","",IFERROR(INDEX('계약'!$H$5:$H$204,MATCH($B85,'계약'!$B$5:$B$204,0)),""))</x:f>
      </x:c>
      <x:c r="H85" s="276" t="str">
        <x:f>IF($B85="","",IFERROR(INDEX('계약'!$I$5:$I$204,MATCH($B85,'계약'!$B$5:$B$204,0)),""))</x:f>
      </x:c>
      <x:c r="I85" s="35" t="str">
        <x:f>IF(H85="","",IF(H85&lt;'요약'!$B$2,"만료",(YEAR(H85)-YEAR('요약'!$B$2))*12+MONTH(H85)-MONTH('요약'!$B$2)))</x:f>
      </x:c>
      <x:c r="J85" s="279" t="str">
        <x:f>IF($B85="","",IFERROR(INDEX('계약'!$K$5:$K$204,MATCH($B85,'계약'!$B$5:$B$204,0)),""))</x:f>
      </x:c>
      <x:c r="K85" s="279" t="str">
        <x:f>IF($B85="","",IFERROR(INDEX('계약'!$L$5:$L$204,MATCH($B85,'계약'!$B$5:$B$204,0)),""))</x:f>
      </x:c>
      <x:c r="L85" s="279" t="str">
        <x:f>IF($B85="","",IFERROR(INDEX('수납'!$E$5:$E$204,MATCH($B85,'수납'!$B$5:$B$204,0)),0))</x:f>
      </x:c>
      <x:c r="M85" s="35" t="str">
        <x:f>IF($B85="","",IFERROR(INDEX('수납'!$D$5:$D$204,MATCH($B85,'수납'!$B$5:$B$204,0)),0))</x:f>
      </x:c>
      <x:c r="N85" s="35" t="str">
        <x:f>IF($B85="","",IFERROR(INDEX('계약'!$M$5:$M$204,MATCH($B85,'계약'!$B$5:$B$204,0)),""))</x:f>
      </x:c>
      <x:c r="O85" s="1"/>
      <x:c r="P85" s="1"/>
      <x:c r="Q85" s="1"/>
      <x:c r="R85" s="1"/>
      <x:c r="S85" s="1"/>
      <x:c r="T85" s="1"/>
      <x:c r="U85" s="1"/>
      <x:c r="V85" s="1"/>
      <x:c r="W85" s="1"/>
      <x:c r="X85" s="1"/>
      <x:c r="Y85" s="1"/>
      <x:c r="Z85" s="1"/>
      <x:c r="AA85" s="1"/>
      <x:c r="AB85" s="1"/>
      <x:c r="AC85" s="1"/>
      <x:c r="AD85" s="1"/>
      <x:c r="AE85" s="1"/>
    </x:row>
    <x:row r="86" ht="18" customHeight="1">
      <x:c r="A86" s="273" t="str">
        <x:f>IF(B86="","",82)</x:f>
      </x:c>
      <x:c r="B86" s="35" t="str">
        <x:f>IFERROR(INDEX('자산'!$B$5:$B$204,MATCH(82,'자산'!$Z$5:$Z$204,0)),"")</x:f>
      </x:c>
      <x:c r="C86" s="35" t="str">
        <x:f>IF($B86="","",IFERROR(INDEX('자산'!$C$5:$C$204,MATCH($B86,'자산'!$B$5:$B$204,0)),""))</x:f>
      </x:c>
      <x:c r="D86" s="273" t="str">
        <x:f>IF($B86="","",IFERROR(INDEX('자산'!$D$5:$D$204,MATCH($B86,'자산'!$B$5:$B$204,0)),""))</x:f>
      </x:c>
      <x:c r="E86" s="273" t="str">
        <x:f>IF(B86="","",IF(IF($B86="","",IFERROR(INDEX('계약'!$G$5:$G$204,MATCH($B86,'계약'!$B$5:$B$204,0)),""))&lt;&gt;"","대여중","쉬는차"))</x:f>
      </x:c>
      <x:c r="F86" s="35" t="str">
        <x:f>IF($B86="","",IFERROR(INDEX('계약'!$G$5:$G$204,MATCH($B86,'계약'!$B$5:$B$204,0)),""))</x:f>
      </x:c>
      <x:c r="G86" s="276" t="str">
        <x:f>IF($B86="","",IFERROR(INDEX('계약'!$H$5:$H$204,MATCH($B86,'계약'!$B$5:$B$204,0)),""))</x:f>
      </x:c>
      <x:c r="H86" s="276" t="str">
        <x:f>IF($B86="","",IFERROR(INDEX('계약'!$I$5:$I$204,MATCH($B86,'계약'!$B$5:$B$204,0)),""))</x:f>
      </x:c>
      <x:c r="I86" s="35" t="str">
        <x:f>IF(H86="","",IF(H86&lt;'요약'!$B$2,"만료",(YEAR(H86)-YEAR('요약'!$B$2))*12+MONTH(H86)-MONTH('요약'!$B$2)))</x:f>
      </x:c>
      <x:c r="J86" s="279" t="str">
        <x:f>IF($B86="","",IFERROR(INDEX('계약'!$K$5:$K$204,MATCH($B86,'계약'!$B$5:$B$204,0)),""))</x:f>
      </x:c>
      <x:c r="K86" s="279" t="str">
        <x:f>IF($B86="","",IFERROR(INDEX('계약'!$L$5:$L$204,MATCH($B86,'계약'!$B$5:$B$204,0)),""))</x:f>
      </x:c>
      <x:c r="L86" s="279" t="str">
        <x:f>IF($B86="","",IFERROR(INDEX('수납'!$E$5:$E$204,MATCH($B86,'수납'!$B$5:$B$204,0)),0))</x:f>
      </x:c>
      <x:c r="M86" s="35" t="str">
        <x:f>IF($B86="","",IFERROR(INDEX('수납'!$D$5:$D$204,MATCH($B86,'수납'!$B$5:$B$204,0)),0))</x:f>
      </x:c>
      <x:c r="N86" s="35" t="str">
        <x:f>IF($B86="","",IFERROR(INDEX('계약'!$M$5:$M$204,MATCH($B86,'계약'!$B$5:$B$204,0)),""))</x:f>
      </x:c>
      <x:c r="O86" s="1"/>
      <x:c r="P86" s="1"/>
      <x:c r="Q86" s="1"/>
      <x:c r="R86" s="1"/>
      <x:c r="S86" s="1"/>
      <x:c r="T86" s="1"/>
      <x:c r="U86" s="1"/>
      <x:c r="V86" s="1"/>
      <x:c r="W86" s="1"/>
      <x:c r="X86" s="1"/>
      <x:c r="Y86" s="1"/>
      <x:c r="Z86" s="1"/>
      <x:c r="AA86" s="1"/>
      <x:c r="AB86" s="1"/>
      <x:c r="AC86" s="1"/>
      <x:c r="AD86" s="1"/>
      <x:c r="AE86" s="1"/>
    </x:row>
    <x:row r="87" ht="18" customHeight="1">
      <x:c r="A87" s="273" t="str">
        <x:f>IF(B87="","",83)</x:f>
      </x:c>
      <x:c r="B87" s="35" t="str">
        <x:f>IFERROR(INDEX('자산'!$B$5:$B$204,MATCH(83,'자산'!$Z$5:$Z$204,0)),"")</x:f>
      </x:c>
      <x:c r="C87" s="35" t="str">
        <x:f>IF($B87="","",IFERROR(INDEX('자산'!$C$5:$C$204,MATCH($B87,'자산'!$B$5:$B$204,0)),""))</x:f>
      </x:c>
      <x:c r="D87" s="273" t="str">
        <x:f>IF($B87="","",IFERROR(INDEX('자산'!$D$5:$D$204,MATCH($B87,'자산'!$B$5:$B$204,0)),""))</x:f>
      </x:c>
      <x:c r="E87" s="273" t="str">
        <x:f>IF(B87="","",IF(IF($B87="","",IFERROR(INDEX('계약'!$G$5:$G$204,MATCH($B87,'계약'!$B$5:$B$204,0)),""))&lt;&gt;"","대여중","쉬는차"))</x:f>
      </x:c>
      <x:c r="F87" s="35" t="str">
        <x:f>IF($B87="","",IFERROR(INDEX('계약'!$G$5:$G$204,MATCH($B87,'계약'!$B$5:$B$204,0)),""))</x:f>
      </x:c>
      <x:c r="G87" s="276" t="str">
        <x:f>IF($B87="","",IFERROR(INDEX('계약'!$H$5:$H$204,MATCH($B87,'계약'!$B$5:$B$204,0)),""))</x:f>
      </x:c>
      <x:c r="H87" s="276" t="str">
        <x:f>IF($B87="","",IFERROR(INDEX('계약'!$I$5:$I$204,MATCH($B87,'계약'!$B$5:$B$204,0)),""))</x:f>
      </x:c>
      <x:c r="I87" s="35" t="str">
        <x:f>IF(H87="","",IF(H87&lt;'요약'!$B$2,"만료",(YEAR(H87)-YEAR('요약'!$B$2))*12+MONTH(H87)-MONTH('요약'!$B$2)))</x:f>
      </x:c>
      <x:c r="J87" s="279" t="str">
        <x:f>IF($B87="","",IFERROR(INDEX('계약'!$K$5:$K$204,MATCH($B87,'계약'!$B$5:$B$204,0)),""))</x:f>
      </x:c>
      <x:c r="K87" s="279" t="str">
        <x:f>IF($B87="","",IFERROR(INDEX('계약'!$L$5:$L$204,MATCH($B87,'계약'!$B$5:$B$204,0)),""))</x:f>
      </x:c>
      <x:c r="L87" s="279" t="str">
        <x:f>IF($B87="","",IFERROR(INDEX('수납'!$E$5:$E$204,MATCH($B87,'수납'!$B$5:$B$204,0)),0))</x:f>
      </x:c>
      <x:c r="M87" s="35" t="str">
        <x:f>IF($B87="","",IFERROR(INDEX('수납'!$D$5:$D$204,MATCH($B87,'수납'!$B$5:$B$204,0)),0))</x:f>
      </x:c>
      <x:c r="N87" s="35" t="str">
        <x:f>IF($B87="","",IFERROR(INDEX('계약'!$M$5:$M$204,MATCH($B87,'계약'!$B$5:$B$204,0)),""))</x:f>
      </x:c>
      <x:c r="O87" s="1"/>
      <x:c r="P87" s="1"/>
      <x:c r="Q87" s="1"/>
      <x:c r="R87" s="1"/>
      <x:c r="S87" s="1"/>
      <x:c r="T87" s="1"/>
      <x:c r="U87" s="1"/>
      <x:c r="V87" s="1"/>
      <x:c r="W87" s="1"/>
      <x:c r="X87" s="1"/>
      <x:c r="Y87" s="1"/>
      <x:c r="Z87" s="1"/>
      <x:c r="AA87" s="1"/>
      <x:c r="AB87" s="1"/>
      <x:c r="AC87" s="1"/>
      <x:c r="AD87" s="1"/>
      <x:c r="AE87" s="1"/>
    </x:row>
    <x:row r="88" ht="18" customHeight="1">
      <x:c r="A88" s="273" t="str">
        <x:f>IF(B88="","",84)</x:f>
      </x:c>
      <x:c r="B88" s="35" t="str">
        <x:f>IFERROR(INDEX('자산'!$B$5:$B$204,MATCH(84,'자산'!$Z$5:$Z$204,0)),"")</x:f>
      </x:c>
      <x:c r="C88" s="35" t="str">
        <x:f>IF($B88="","",IFERROR(INDEX('자산'!$C$5:$C$204,MATCH($B88,'자산'!$B$5:$B$204,0)),""))</x:f>
      </x:c>
      <x:c r="D88" s="273" t="str">
        <x:f>IF($B88="","",IFERROR(INDEX('자산'!$D$5:$D$204,MATCH($B88,'자산'!$B$5:$B$204,0)),""))</x:f>
      </x:c>
      <x:c r="E88" s="273" t="str">
        <x:f>IF(B88="","",IF(IF($B88="","",IFERROR(INDEX('계약'!$G$5:$G$204,MATCH($B88,'계약'!$B$5:$B$204,0)),""))&lt;&gt;"","대여중","쉬는차"))</x:f>
      </x:c>
      <x:c r="F88" s="35" t="str">
        <x:f>IF($B88="","",IFERROR(INDEX('계약'!$G$5:$G$204,MATCH($B88,'계약'!$B$5:$B$204,0)),""))</x:f>
      </x:c>
      <x:c r="G88" s="276" t="str">
        <x:f>IF($B88="","",IFERROR(INDEX('계약'!$H$5:$H$204,MATCH($B88,'계약'!$B$5:$B$204,0)),""))</x:f>
      </x:c>
      <x:c r="H88" s="276" t="str">
        <x:f>IF($B88="","",IFERROR(INDEX('계약'!$I$5:$I$204,MATCH($B88,'계약'!$B$5:$B$204,0)),""))</x:f>
      </x:c>
      <x:c r="I88" s="35" t="str">
        <x:f>IF(H88="","",IF(H88&lt;'요약'!$B$2,"만료",(YEAR(H88)-YEAR('요약'!$B$2))*12+MONTH(H88)-MONTH('요약'!$B$2)))</x:f>
      </x:c>
      <x:c r="J88" s="279" t="str">
        <x:f>IF($B88="","",IFERROR(INDEX('계약'!$K$5:$K$204,MATCH($B88,'계약'!$B$5:$B$204,0)),""))</x:f>
      </x:c>
      <x:c r="K88" s="279" t="str">
        <x:f>IF($B88="","",IFERROR(INDEX('계약'!$L$5:$L$204,MATCH($B88,'계약'!$B$5:$B$204,0)),""))</x:f>
      </x:c>
      <x:c r="L88" s="279" t="str">
        <x:f>IF($B88="","",IFERROR(INDEX('수납'!$E$5:$E$204,MATCH($B88,'수납'!$B$5:$B$204,0)),0))</x:f>
      </x:c>
      <x:c r="M88" s="35" t="str">
        <x:f>IF($B88="","",IFERROR(INDEX('수납'!$D$5:$D$204,MATCH($B88,'수납'!$B$5:$B$204,0)),0))</x:f>
      </x:c>
      <x:c r="N88" s="35" t="str">
        <x:f>IF($B88="","",IFERROR(INDEX('계약'!$M$5:$M$204,MATCH($B88,'계약'!$B$5:$B$204,0)),""))</x:f>
      </x:c>
      <x:c r="O88" s="1"/>
      <x:c r="P88" s="1"/>
      <x:c r="Q88" s="1"/>
      <x:c r="R88" s="1"/>
      <x:c r="S88" s="1"/>
      <x:c r="T88" s="1"/>
      <x:c r="U88" s="1"/>
      <x:c r="V88" s="1"/>
      <x:c r="W88" s="1"/>
      <x:c r="X88" s="1"/>
      <x:c r="Y88" s="1"/>
      <x:c r="Z88" s="1"/>
      <x:c r="AA88" s="1"/>
      <x:c r="AB88" s="1"/>
      <x:c r="AC88" s="1"/>
      <x:c r="AD88" s="1"/>
      <x:c r="AE88" s="1"/>
    </x:row>
    <x:row r="89" ht="18" customHeight="1">
      <x:c r="A89" s="273" t="str">
        <x:f>IF(B89="","",85)</x:f>
      </x:c>
      <x:c r="B89" s="35" t="str">
        <x:f>IFERROR(INDEX('자산'!$B$5:$B$204,MATCH(85,'자산'!$Z$5:$Z$204,0)),"")</x:f>
      </x:c>
      <x:c r="C89" s="35" t="str">
        <x:f>IF($B89="","",IFERROR(INDEX('자산'!$C$5:$C$204,MATCH($B89,'자산'!$B$5:$B$204,0)),""))</x:f>
      </x:c>
      <x:c r="D89" s="273" t="str">
        <x:f>IF($B89="","",IFERROR(INDEX('자산'!$D$5:$D$204,MATCH($B89,'자산'!$B$5:$B$204,0)),""))</x:f>
      </x:c>
      <x:c r="E89" s="273" t="str">
        <x:f>IF(B89="","",IF(IF($B89="","",IFERROR(INDEX('계약'!$G$5:$G$204,MATCH($B89,'계약'!$B$5:$B$204,0)),""))&lt;&gt;"","대여중","쉬는차"))</x:f>
      </x:c>
      <x:c r="F89" s="35" t="str">
        <x:f>IF($B89="","",IFERROR(INDEX('계약'!$G$5:$G$204,MATCH($B89,'계약'!$B$5:$B$204,0)),""))</x:f>
      </x:c>
      <x:c r="G89" s="276" t="str">
        <x:f>IF($B89="","",IFERROR(INDEX('계약'!$H$5:$H$204,MATCH($B89,'계약'!$B$5:$B$204,0)),""))</x:f>
      </x:c>
      <x:c r="H89" s="276" t="str">
        <x:f>IF($B89="","",IFERROR(INDEX('계약'!$I$5:$I$204,MATCH($B89,'계약'!$B$5:$B$204,0)),""))</x:f>
      </x:c>
      <x:c r="I89" s="35" t="str">
        <x:f>IF(H89="","",IF(H89&lt;'요약'!$B$2,"만료",(YEAR(H89)-YEAR('요약'!$B$2))*12+MONTH(H89)-MONTH('요약'!$B$2)))</x:f>
      </x:c>
      <x:c r="J89" s="279" t="str">
        <x:f>IF($B89="","",IFERROR(INDEX('계약'!$K$5:$K$204,MATCH($B89,'계약'!$B$5:$B$204,0)),""))</x:f>
      </x:c>
      <x:c r="K89" s="279" t="str">
        <x:f>IF($B89="","",IFERROR(INDEX('계약'!$L$5:$L$204,MATCH($B89,'계약'!$B$5:$B$204,0)),""))</x:f>
      </x:c>
      <x:c r="L89" s="279" t="str">
        <x:f>IF($B89="","",IFERROR(INDEX('수납'!$E$5:$E$204,MATCH($B89,'수납'!$B$5:$B$204,0)),0))</x:f>
      </x:c>
      <x:c r="M89" s="35" t="str">
        <x:f>IF($B89="","",IFERROR(INDEX('수납'!$D$5:$D$204,MATCH($B89,'수납'!$B$5:$B$204,0)),0))</x:f>
      </x:c>
      <x:c r="N89" s="35" t="str">
        <x:f>IF($B89="","",IFERROR(INDEX('계약'!$M$5:$M$204,MATCH($B89,'계약'!$B$5:$B$204,0)),""))</x:f>
      </x:c>
      <x:c r="O89" s="1"/>
      <x:c r="P89" s="1"/>
      <x:c r="Q89" s="1"/>
      <x:c r="R89" s="1"/>
      <x:c r="S89" s="1"/>
      <x:c r="T89" s="1"/>
      <x:c r="U89" s="1"/>
      <x:c r="V89" s="1"/>
      <x:c r="W89" s="1"/>
      <x:c r="X89" s="1"/>
      <x:c r="Y89" s="1"/>
      <x:c r="Z89" s="1"/>
      <x:c r="AA89" s="1"/>
      <x:c r="AB89" s="1"/>
      <x:c r="AC89" s="1"/>
      <x:c r="AD89" s="1"/>
      <x:c r="AE89" s="1"/>
    </x:row>
    <x:row r="90" ht="18" customHeight="1">
      <x:c r="A90" s="273" t="str">
        <x:f>IF(B90="","",86)</x:f>
      </x:c>
      <x:c r="B90" s="35" t="str">
        <x:f>IFERROR(INDEX('자산'!$B$5:$B$204,MATCH(86,'자산'!$Z$5:$Z$204,0)),"")</x:f>
      </x:c>
      <x:c r="C90" s="35" t="str">
        <x:f>IF($B90="","",IFERROR(INDEX('자산'!$C$5:$C$204,MATCH($B90,'자산'!$B$5:$B$204,0)),""))</x:f>
      </x:c>
      <x:c r="D90" s="273" t="str">
        <x:f>IF($B90="","",IFERROR(INDEX('자산'!$D$5:$D$204,MATCH($B90,'자산'!$B$5:$B$204,0)),""))</x:f>
      </x:c>
      <x:c r="E90" s="273" t="str">
        <x:f>IF(B90="","",IF(IF($B90="","",IFERROR(INDEX('계약'!$G$5:$G$204,MATCH($B90,'계약'!$B$5:$B$204,0)),""))&lt;&gt;"","대여중","쉬는차"))</x:f>
      </x:c>
      <x:c r="F90" s="35" t="str">
        <x:f>IF($B90="","",IFERROR(INDEX('계약'!$G$5:$G$204,MATCH($B90,'계약'!$B$5:$B$204,0)),""))</x:f>
      </x:c>
      <x:c r="G90" s="276" t="str">
        <x:f>IF($B90="","",IFERROR(INDEX('계약'!$H$5:$H$204,MATCH($B90,'계약'!$B$5:$B$204,0)),""))</x:f>
      </x:c>
      <x:c r="H90" s="276" t="str">
        <x:f>IF($B90="","",IFERROR(INDEX('계약'!$I$5:$I$204,MATCH($B90,'계약'!$B$5:$B$204,0)),""))</x:f>
      </x:c>
      <x:c r="I90" s="35" t="str">
        <x:f>IF(H90="","",IF(H90&lt;'요약'!$B$2,"만료",(YEAR(H90)-YEAR('요약'!$B$2))*12+MONTH(H90)-MONTH('요약'!$B$2)))</x:f>
      </x:c>
      <x:c r="J90" s="279" t="str">
        <x:f>IF($B90="","",IFERROR(INDEX('계약'!$K$5:$K$204,MATCH($B90,'계약'!$B$5:$B$204,0)),""))</x:f>
      </x:c>
      <x:c r="K90" s="279" t="str">
        <x:f>IF($B90="","",IFERROR(INDEX('계약'!$L$5:$L$204,MATCH($B90,'계약'!$B$5:$B$204,0)),""))</x:f>
      </x:c>
      <x:c r="L90" s="279" t="str">
        <x:f>IF($B90="","",IFERROR(INDEX('수납'!$E$5:$E$204,MATCH($B90,'수납'!$B$5:$B$204,0)),0))</x:f>
      </x:c>
      <x:c r="M90" s="35" t="str">
        <x:f>IF($B90="","",IFERROR(INDEX('수납'!$D$5:$D$204,MATCH($B90,'수납'!$B$5:$B$204,0)),0))</x:f>
      </x:c>
      <x:c r="N90" s="35" t="str">
        <x:f>IF($B90="","",IFERROR(INDEX('계약'!$M$5:$M$204,MATCH($B90,'계약'!$B$5:$B$204,0)),""))</x:f>
      </x:c>
      <x:c r="O90" s="1"/>
      <x:c r="P90" s="1"/>
      <x:c r="Q90" s="1"/>
      <x:c r="R90" s="1"/>
      <x:c r="S90" s="1"/>
      <x:c r="T90" s="1"/>
      <x:c r="U90" s="1"/>
      <x:c r="V90" s="1"/>
      <x:c r="W90" s="1"/>
      <x:c r="X90" s="1"/>
      <x:c r="Y90" s="1"/>
      <x:c r="Z90" s="1"/>
      <x:c r="AA90" s="1"/>
      <x:c r="AB90" s="1"/>
      <x:c r="AC90" s="1"/>
      <x:c r="AD90" s="1"/>
      <x:c r="AE90" s="1"/>
    </x:row>
    <x:row r="91" ht="18" customHeight="1">
      <x:c r="A91" s="273" t="str">
        <x:f>IF(B91="","",87)</x:f>
      </x:c>
      <x:c r="B91" s="35" t="str">
        <x:f>IFERROR(INDEX('자산'!$B$5:$B$204,MATCH(87,'자산'!$Z$5:$Z$204,0)),"")</x:f>
      </x:c>
      <x:c r="C91" s="35" t="str">
        <x:f>IF($B91="","",IFERROR(INDEX('자산'!$C$5:$C$204,MATCH($B91,'자산'!$B$5:$B$204,0)),""))</x:f>
      </x:c>
      <x:c r="D91" s="273" t="str">
        <x:f>IF($B91="","",IFERROR(INDEX('자산'!$D$5:$D$204,MATCH($B91,'자산'!$B$5:$B$204,0)),""))</x:f>
      </x:c>
      <x:c r="E91" s="273" t="str">
        <x:f>IF(B91="","",IF(IF($B91="","",IFERROR(INDEX('계약'!$G$5:$G$204,MATCH($B91,'계약'!$B$5:$B$204,0)),""))&lt;&gt;"","대여중","쉬는차"))</x:f>
      </x:c>
      <x:c r="F91" s="35" t="str">
        <x:f>IF($B91="","",IFERROR(INDEX('계약'!$G$5:$G$204,MATCH($B91,'계약'!$B$5:$B$204,0)),""))</x:f>
      </x:c>
      <x:c r="G91" s="276" t="str">
        <x:f>IF($B91="","",IFERROR(INDEX('계약'!$H$5:$H$204,MATCH($B91,'계약'!$B$5:$B$204,0)),""))</x:f>
      </x:c>
      <x:c r="H91" s="276" t="str">
        <x:f>IF($B91="","",IFERROR(INDEX('계약'!$I$5:$I$204,MATCH($B91,'계약'!$B$5:$B$204,0)),""))</x:f>
      </x:c>
      <x:c r="I91" s="35" t="str">
        <x:f>IF(H91="","",IF(H91&lt;'요약'!$B$2,"만료",(YEAR(H91)-YEAR('요약'!$B$2))*12+MONTH(H91)-MONTH('요약'!$B$2)))</x:f>
      </x:c>
      <x:c r="J91" s="279" t="str">
        <x:f>IF($B91="","",IFERROR(INDEX('계약'!$K$5:$K$204,MATCH($B91,'계약'!$B$5:$B$204,0)),""))</x:f>
      </x:c>
      <x:c r="K91" s="279" t="str">
        <x:f>IF($B91="","",IFERROR(INDEX('계약'!$L$5:$L$204,MATCH($B91,'계약'!$B$5:$B$204,0)),""))</x:f>
      </x:c>
      <x:c r="L91" s="279" t="str">
        <x:f>IF($B91="","",IFERROR(INDEX('수납'!$E$5:$E$204,MATCH($B91,'수납'!$B$5:$B$204,0)),0))</x:f>
      </x:c>
      <x:c r="M91" s="35" t="str">
        <x:f>IF($B91="","",IFERROR(INDEX('수납'!$D$5:$D$204,MATCH($B91,'수납'!$B$5:$B$204,0)),0))</x:f>
      </x:c>
      <x:c r="N91" s="35" t="str">
        <x:f>IF($B91="","",IFERROR(INDEX('계약'!$M$5:$M$204,MATCH($B91,'계약'!$B$5:$B$204,0)),""))</x:f>
      </x:c>
      <x:c r="O91" s="1"/>
      <x:c r="P91" s="1"/>
      <x:c r="Q91" s="1"/>
      <x:c r="R91" s="1"/>
      <x:c r="S91" s="1"/>
      <x:c r="T91" s="1"/>
      <x:c r="U91" s="1"/>
      <x:c r="V91" s="1"/>
      <x:c r="W91" s="1"/>
      <x:c r="X91" s="1"/>
      <x:c r="Y91" s="1"/>
      <x:c r="Z91" s="1"/>
      <x:c r="AA91" s="1"/>
      <x:c r="AB91" s="1"/>
      <x:c r="AC91" s="1"/>
      <x:c r="AD91" s="1"/>
      <x:c r="AE91" s="1"/>
    </x:row>
    <x:row r="92" ht="18" customHeight="1">
      <x:c r="A92" s="273" t="str">
        <x:f>IF(B92="","",88)</x:f>
      </x:c>
      <x:c r="B92" s="35" t="str">
        <x:f>IFERROR(INDEX('자산'!$B$5:$B$204,MATCH(88,'자산'!$Z$5:$Z$204,0)),"")</x:f>
      </x:c>
      <x:c r="C92" s="35" t="str">
        <x:f>IF($B92="","",IFERROR(INDEX('자산'!$C$5:$C$204,MATCH($B92,'자산'!$B$5:$B$204,0)),""))</x:f>
      </x:c>
      <x:c r="D92" s="273" t="str">
        <x:f>IF($B92="","",IFERROR(INDEX('자산'!$D$5:$D$204,MATCH($B92,'자산'!$B$5:$B$204,0)),""))</x:f>
      </x:c>
      <x:c r="E92" s="273" t="str">
        <x:f>IF(B92="","",IF(IF($B92="","",IFERROR(INDEX('계약'!$G$5:$G$204,MATCH($B92,'계약'!$B$5:$B$204,0)),""))&lt;&gt;"","대여중","쉬는차"))</x:f>
      </x:c>
      <x:c r="F92" s="35" t="str">
        <x:f>IF($B92="","",IFERROR(INDEX('계약'!$G$5:$G$204,MATCH($B92,'계약'!$B$5:$B$204,0)),""))</x:f>
      </x:c>
      <x:c r="G92" s="276" t="str">
        <x:f>IF($B92="","",IFERROR(INDEX('계약'!$H$5:$H$204,MATCH($B92,'계약'!$B$5:$B$204,0)),""))</x:f>
      </x:c>
      <x:c r="H92" s="276" t="str">
        <x:f>IF($B92="","",IFERROR(INDEX('계약'!$I$5:$I$204,MATCH($B92,'계약'!$B$5:$B$204,0)),""))</x:f>
      </x:c>
      <x:c r="I92" s="35" t="str">
        <x:f>IF(H92="","",IF(H92&lt;'요약'!$B$2,"만료",(YEAR(H92)-YEAR('요약'!$B$2))*12+MONTH(H92)-MONTH('요약'!$B$2)))</x:f>
      </x:c>
      <x:c r="J92" s="279" t="str">
        <x:f>IF($B92="","",IFERROR(INDEX('계약'!$K$5:$K$204,MATCH($B92,'계약'!$B$5:$B$204,0)),""))</x:f>
      </x:c>
      <x:c r="K92" s="279" t="str">
        <x:f>IF($B92="","",IFERROR(INDEX('계약'!$L$5:$L$204,MATCH($B92,'계약'!$B$5:$B$204,0)),""))</x:f>
      </x:c>
      <x:c r="L92" s="279" t="str">
        <x:f>IF($B92="","",IFERROR(INDEX('수납'!$E$5:$E$204,MATCH($B92,'수납'!$B$5:$B$204,0)),0))</x:f>
      </x:c>
      <x:c r="M92" s="35" t="str">
        <x:f>IF($B92="","",IFERROR(INDEX('수납'!$D$5:$D$204,MATCH($B92,'수납'!$B$5:$B$204,0)),0))</x:f>
      </x:c>
      <x:c r="N92" s="35" t="str">
        <x:f>IF($B92="","",IFERROR(INDEX('계약'!$M$5:$M$204,MATCH($B92,'계약'!$B$5:$B$204,0)),""))</x:f>
      </x:c>
      <x:c r="O92" s="1"/>
      <x:c r="P92" s="1"/>
      <x:c r="Q92" s="1"/>
      <x:c r="R92" s="1"/>
      <x:c r="S92" s="1"/>
      <x:c r="T92" s="1"/>
      <x:c r="U92" s="1"/>
      <x:c r="V92" s="1"/>
      <x:c r="W92" s="1"/>
      <x:c r="X92" s="1"/>
      <x:c r="Y92" s="1"/>
      <x:c r="Z92" s="1"/>
      <x:c r="AA92" s="1"/>
      <x:c r="AB92" s="1"/>
      <x:c r="AC92" s="1"/>
      <x:c r="AD92" s="1"/>
      <x:c r="AE92" s="1"/>
    </x:row>
    <x:row r="93" ht="18" customHeight="1">
      <x:c r="A93" s="273" t="str">
        <x:f>IF(B93="","",89)</x:f>
      </x:c>
      <x:c r="B93" s="35" t="str">
        <x:f>IFERROR(INDEX('자산'!$B$5:$B$204,MATCH(89,'자산'!$Z$5:$Z$204,0)),"")</x:f>
      </x:c>
      <x:c r="C93" s="35" t="str">
        <x:f>IF($B93="","",IFERROR(INDEX('자산'!$C$5:$C$204,MATCH($B93,'자산'!$B$5:$B$204,0)),""))</x:f>
      </x:c>
      <x:c r="D93" s="273" t="str">
        <x:f>IF($B93="","",IFERROR(INDEX('자산'!$D$5:$D$204,MATCH($B93,'자산'!$B$5:$B$204,0)),""))</x:f>
      </x:c>
      <x:c r="E93" s="273" t="str">
        <x:f>IF(B93="","",IF(IF($B93="","",IFERROR(INDEX('계약'!$G$5:$G$204,MATCH($B93,'계약'!$B$5:$B$204,0)),""))&lt;&gt;"","대여중","쉬는차"))</x:f>
      </x:c>
      <x:c r="F93" s="35" t="str">
        <x:f>IF($B93="","",IFERROR(INDEX('계약'!$G$5:$G$204,MATCH($B93,'계약'!$B$5:$B$204,0)),""))</x:f>
      </x:c>
      <x:c r="G93" s="276" t="str">
        <x:f>IF($B93="","",IFERROR(INDEX('계약'!$H$5:$H$204,MATCH($B93,'계약'!$B$5:$B$204,0)),""))</x:f>
      </x:c>
      <x:c r="H93" s="276" t="str">
        <x:f>IF($B93="","",IFERROR(INDEX('계약'!$I$5:$I$204,MATCH($B93,'계약'!$B$5:$B$204,0)),""))</x:f>
      </x:c>
      <x:c r="I93" s="35" t="str">
        <x:f>IF(H93="","",IF(H93&lt;'요약'!$B$2,"만료",(YEAR(H93)-YEAR('요약'!$B$2))*12+MONTH(H93)-MONTH('요약'!$B$2)))</x:f>
      </x:c>
      <x:c r="J93" s="279" t="str">
        <x:f>IF($B93="","",IFERROR(INDEX('계약'!$K$5:$K$204,MATCH($B93,'계약'!$B$5:$B$204,0)),""))</x:f>
      </x:c>
      <x:c r="K93" s="279" t="str">
        <x:f>IF($B93="","",IFERROR(INDEX('계약'!$L$5:$L$204,MATCH($B93,'계약'!$B$5:$B$204,0)),""))</x:f>
      </x:c>
      <x:c r="L93" s="279" t="str">
        <x:f>IF($B93="","",IFERROR(INDEX('수납'!$E$5:$E$204,MATCH($B93,'수납'!$B$5:$B$204,0)),0))</x:f>
      </x:c>
      <x:c r="M93" s="35" t="str">
        <x:f>IF($B93="","",IFERROR(INDEX('수납'!$D$5:$D$204,MATCH($B93,'수납'!$B$5:$B$204,0)),0))</x:f>
      </x:c>
      <x:c r="N93" s="35" t="str">
        <x:f>IF($B93="","",IFERROR(INDEX('계약'!$M$5:$M$204,MATCH($B93,'계약'!$B$5:$B$204,0)),""))</x:f>
      </x:c>
      <x:c r="O93" s="1"/>
      <x:c r="P93" s="1"/>
      <x:c r="Q93" s="1"/>
      <x:c r="R93" s="1"/>
      <x:c r="S93" s="1"/>
      <x:c r="T93" s="1"/>
      <x:c r="U93" s="1"/>
      <x:c r="V93" s="1"/>
      <x:c r="W93" s="1"/>
      <x:c r="X93" s="1"/>
      <x:c r="Y93" s="1"/>
      <x:c r="Z93" s="1"/>
      <x:c r="AA93" s="1"/>
      <x:c r="AB93" s="1"/>
      <x:c r="AC93" s="1"/>
      <x:c r="AD93" s="1"/>
      <x:c r="AE93" s="1"/>
    </x:row>
    <x:row r="94" ht="18" customHeight="1">
      <x:c r="A94" s="273" t="str">
        <x:f>IF(B94="","",90)</x:f>
      </x:c>
      <x:c r="B94" s="35" t="str">
        <x:f>IFERROR(INDEX('자산'!$B$5:$B$204,MATCH(90,'자산'!$Z$5:$Z$204,0)),"")</x:f>
      </x:c>
      <x:c r="C94" s="35" t="str">
        <x:f>IF($B94="","",IFERROR(INDEX('자산'!$C$5:$C$204,MATCH($B94,'자산'!$B$5:$B$204,0)),""))</x:f>
      </x:c>
      <x:c r="D94" s="273" t="str">
        <x:f>IF($B94="","",IFERROR(INDEX('자산'!$D$5:$D$204,MATCH($B94,'자산'!$B$5:$B$204,0)),""))</x:f>
      </x:c>
      <x:c r="E94" s="273" t="str">
        <x:f>IF(B94="","",IF(IF($B94="","",IFERROR(INDEX('계약'!$G$5:$G$204,MATCH($B94,'계약'!$B$5:$B$204,0)),""))&lt;&gt;"","대여중","쉬는차"))</x:f>
      </x:c>
      <x:c r="F94" s="35" t="str">
        <x:f>IF($B94="","",IFERROR(INDEX('계약'!$G$5:$G$204,MATCH($B94,'계약'!$B$5:$B$204,0)),""))</x:f>
      </x:c>
      <x:c r="G94" s="276" t="str">
        <x:f>IF($B94="","",IFERROR(INDEX('계약'!$H$5:$H$204,MATCH($B94,'계약'!$B$5:$B$204,0)),""))</x:f>
      </x:c>
      <x:c r="H94" s="276" t="str">
        <x:f>IF($B94="","",IFERROR(INDEX('계약'!$I$5:$I$204,MATCH($B94,'계약'!$B$5:$B$204,0)),""))</x:f>
      </x:c>
      <x:c r="I94" s="35" t="str">
        <x:f>IF(H94="","",IF(H94&lt;'요약'!$B$2,"만료",(YEAR(H94)-YEAR('요약'!$B$2))*12+MONTH(H94)-MONTH('요약'!$B$2)))</x:f>
      </x:c>
      <x:c r="J94" s="279" t="str">
        <x:f>IF($B94="","",IFERROR(INDEX('계약'!$K$5:$K$204,MATCH($B94,'계약'!$B$5:$B$204,0)),""))</x:f>
      </x:c>
      <x:c r="K94" s="279" t="str">
        <x:f>IF($B94="","",IFERROR(INDEX('계약'!$L$5:$L$204,MATCH($B94,'계약'!$B$5:$B$204,0)),""))</x:f>
      </x:c>
      <x:c r="L94" s="279" t="str">
        <x:f>IF($B94="","",IFERROR(INDEX('수납'!$E$5:$E$204,MATCH($B94,'수납'!$B$5:$B$204,0)),0))</x:f>
      </x:c>
      <x:c r="M94" s="35" t="str">
        <x:f>IF($B94="","",IFERROR(INDEX('수납'!$D$5:$D$204,MATCH($B94,'수납'!$B$5:$B$204,0)),0))</x:f>
      </x:c>
      <x:c r="N94" s="35" t="str">
        <x:f>IF($B94="","",IFERROR(INDEX('계약'!$M$5:$M$204,MATCH($B94,'계약'!$B$5:$B$204,0)),""))</x:f>
      </x:c>
      <x:c r="O94" s="1"/>
      <x:c r="P94" s="1"/>
      <x:c r="Q94" s="1"/>
      <x:c r="R94" s="1"/>
      <x:c r="S94" s="1"/>
      <x:c r="T94" s="1"/>
      <x:c r="U94" s="1"/>
      <x:c r="V94" s="1"/>
      <x:c r="W94" s="1"/>
      <x:c r="X94" s="1"/>
      <x:c r="Y94" s="1"/>
      <x:c r="Z94" s="1"/>
      <x:c r="AA94" s="1"/>
      <x:c r="AB94" s="1"/>
      <x:c r="AC94" s="1"/>
      <x:c r="AD94" s="1"/>
      <x:c r="AE94" s="1"/>
    </x:row>
    <x:row r="95" ht="18" customHeight="1">
      <x:c r="A95" s="273" t="str">
        <x:f>IF(B95="","",91)</x:f>
      </x:c>
      <x:c r="B95" s="35" t="str">
        <x:f>IFERROR(INDEX('자산'!$B$5:$B$204,MATCH(91,'자산'!$Z$5:$Z$204,0)),"")</x:f>
      </x:c>
      <x:c r="C95" s="35" t="str">
        <x:f>IF($B95="","",IFERROR(INDEX('자산'!$C$5:$C$204,MATCH($B95,'자산'!$B$5:$B$204,0)),""))</x:f>
      </x:c>
      <x:c r="D95" s="273" t="str">
        <x:f>IF($B95="","",IFERROR(INDEX('자산'!$D$5:$D$204,MATCH($B95,'자산'!$B$5:$B$204,0)),""))</x:f>
      </x:c>
      <x:c r="E95" s="273" t="str">
        <x:f>IF(B95="","",IF(IF($B95="","",IFERROR(INDEX('계약'!$G$5:$G$204,MATCH($B95,'계약'!$B$5:$B$204,0)),""))&lt;&gt;"","대여중","쉬는차"))</x:f>
      </x:c>
      <x:c r="F95" s="35" t="str">
        <x:f>IF($B95="","",IFERROR(INDEX('계약'!$G$5:$G$204,MATCH($B95,'계약'!$B$5:$B$204,0)),""))</x:f>
      </x:c>
      <x:c r="G95" s="276" t="str">
        <x:f>IF($B95="","",IFERROR(INDEX('계약'!$H$5:$H$204,MATCH($B95,'계약'!$B$5:$B$204,0)),""))</x:f>
      </x:c>
      <x:c r="H95" s="276" t="str">
        <x:f>IF($B95="","",IFERROR(INDEX('계약'!$I$5:$I$204,MATCH($B95,'계약'!$B$5:$B$204,0)),""))</x:f>
      </x:c>
      <x:c r="I95" s="35" t="str">
        <x:f>IF(H95="","",IF(H95&lt;'요약'!$B$2,"만료",(YEAR(H95)-YEAR('요약'!$B$2))*12+MONTH(H95)-MONTH('요약'!$B$2)))</x:f>
      </x:c>
      <x:c r="J95" s="279" t="str">
        <x:f>IF($B95="","",IFERROR(INDEX('계약'!$K$5:$K$204,MATCH($B95,'계약'!$B$5:$B$204,0)),""))</x:f>
      </x:c>
      <x:c r="K95" s="279" t="str">
        <x:f>IF($B95="","",IFERROR(INDEX('계약'!$L$5:$L$204,MATCH($B95,'계약'!$B$5:$B$204,0)),""))</x:f>
      </x:c>
      <x:c r="L95" s="279" t="str">
        <x:f>IF($B95="","",IFERROR(INDEX('수납'!$E$5:$E$204,MATCH($B95,'수납'!$B$5:$B$204,0)),0))</x:f>
      </x:c>
      <x:c r="M95" s="35" t="str">
        <x:f>IF($B95="","",IFERROR(INDEX('수납'!$D$5:$D$204,MATCH($B95,'수납'!$B$5:$B$204,0)),0))</x:f>
      </x:c>
      <x:c r="N95" s="35" t="str">
        <x:f>IF($B95="","",IFERROR(INDEX('계약'!$M$5:$M$204,MATCH($B95,'계약'!$B$5:$B$204,0)),""))</x:f>
      </x:c>
      <x:c r="O95" s="1"/>
      <x:c r="P95" s="1"/>
      <x:c r="Q95" s="1"/>
      <x:c r="R95" s="1"/>
      <x:c r="S95" s="1"/>
      <x:c r="T95" s="1"/>
      <x:c r="U95" s="1"/>
      <x:c r="V95" s="1"/>
      <x:c r="W95" s="1"/>
      <x:c r="X95" s="1"/>
      <x:c r="Y95" s="1"/>
      <x:c r="Z95" s="1"/>
      <x:c r="AA95" s="1"/>
      <x:c r="AB95" s="1"/>
      <x:c r="AC95" s="1"/>
      <x:c r="AD95" s="1"/>
      <x:c r="AE95" s="1"/>
    </x:row>
    <x:row r="96" ht="18" customHeight="1">
      <x:c r="A96" s="273" t="str">
        <x:f>IF(B96="","",92)</x:f>
      </x:c>
      <x:c r="B96" s="35" t="str">
        <x:f>IFERROR(INDEX('자산'!$B$5:$B$204,MATCH(92,'자산'!$Z$5:$Z$204,0)),"")</x:f>
      </x:c>
      <x:c r="C96" s="35" t="str">
        <x:f>IF($B96="","",IFERROR(INDEX('자산'!$C$5:$C$204,MATCH($B96,'자산'!$B$5:$B$204,0)),""))</x:f>
      </x:c>
      <x:c r="D96" s="273" t="str">
        <x:f>IF($B96="","",IFERROR(INDEX('자산'!$D$5:$D$204,MATCH($B96,'자산'!$B$5:$B$204,0)),""))</x:f>
      </x:c>
      <x:c r="E96" s="273" t="str">
        <x:f>IF(B96="","",IF(IF($B96="","",IFERROR(INDEX('계약'!$G$5:$G$204,MATCH($B96,'계약'!$B$5:$B$204,0)),""))&lt;&gt;"","대여중","쉬는차"))</x:f>
      </x:c>
      <x:c r="F96" s="35" t="str">
        <x:f>IF($B96="","",IFERROR(INDEX('계약'!$G$5:$G$204,MATCH($B96,'계약'!$B$5:$B$204,0)),""))</x:f>
      </x:c>
      <x:c r="G96" s="276" t="str">
        <x:f>IF($B96="","",IFERROR(INDEX('계약'!$H$5:$H$204,MATCH($B96,'계약'!$B$5:$B$204,0)),""))</x:f>
      </x:c>
      <x:c r="H96" s="276" t="str">
        <x:f>IF($B96="","",IFERROR(INDEX('계약'!$I$5:$I$204,MATCH($B96,'계약'!$B$5:$B$204,0)),""))</x:f>
      </x:c>
      <x:c r="I96" s="35" t="str">
        <x:f>IF(H96="","",IF(H96&lt;'요약'!$B$2,"만료",(YEAR(H96)-YEAR('요약'!$B$2))*12+MONTH(H96)-MONTH('요약'!$B$2)))</x:f>
      </x:c>
      <x:c r="J96" s="279" t="str">
        <x:f>IF($B96="","",IFERROR(INDEX('계약'!$K$5:$K$204,MATCH($B96,'계약'!$B$5:$B$204,0)),""))</x:f>
      </x:c>
      <x:c r="K96" s="279" t="str">
        <x:f>IF($B96="","",IFERROR(INDEX('계약'!$L$5:$L$204,MATCH($B96,'계약'!$B$5:$B$204,0)),""))</x:f>
      </x:c>
      <x:c r="L96" s="279" t="str">
        <x:f>IF($B96="","",IFERROR(INDEX('수납'!$E$5:$E$204,MATCH($B96,'수납'!$B$5:$B$204,0)),0))</x:f>
      </x:c>
      <x:c r="M96" s="35" t="str">
        <x:f>IF($B96="","",IFERROR(INDEX('수납'!$D$5:$D$204,MATCH($B96,'수납'!$B$5:$B$204,0)),0))</x:f>
      </x:c>
      <x:c r="N96" s="35" t="str">
        <x:f>IF($B96="","",IFERROR(INDEX('계약'!$M$5:$M$204,MATCH($B96,'계약'!$B$5:$B$204,0)),""))</x:f>
      </x:c>
      <x:c r="O96" s="1"/>
      <x:c r="P96" s="1"/>
      <x:c r="Q96" s="1"/>
      <x:c r="R96" s="1"/>
      <x:c r="S96" s="1"/>
      <x:c r="T96" s="1"/>
      <x:c r="U96" s="1"/>
      <x:c r="V96" s="1"/>
      <x:c r="W96" s="1"/>
      <x:c r="X96" s="1"/>
      <x:c r="Y96" s="1"/>
      <x:c r="Z96" s="1"/>
      <x:c r="AA96" s="1"/>
      <x:c r="AB96" s="1"/>
      <x:c r="AC96" s="1"/>
      <x:c r="AD96" s="1"/>
      <x:c r="AE96" s="1"/>
    </x:row>
    <x:row r="97" ht="18" customHeight="1">
      <x:c r="A97" s="273" t="str">
        <x:f>IF(B97="","",93)</x:f>
      </x:c>
      <x:c r="B97" s="35" t="str">
        <x:f>IFERROR(INDEX('자산'!$B$5:$B$204,MATCH(93,'자산'!$Z$5:$Z$204,0)),"")</x:f>
      </x:c>
      <x:c r="C97" s="35" t="str">
        <x:f>IF($B97="","",IFERROR(INDEX('자산'!$C$5:$C$204,MATCH($B97,'자산'!$B$5:$B$204,0)),""))</x:f>
      </x:c>
      <x:c r="D97" s="273" t="str">
        <x:f>IF($B97="","",IFERROR(INDEX('자산'!$D$5:$D$204,MATCH($B97,'자산'!$B$5:$B$204,0)),""))</x:f>
      </x:c>
      <x:c r="E97" s="273" t="str">
        <x:f>IF(B97="","",IF(IF($B97="","",IFERROR(INDEX('계약'!$G$5:$G$204,MATCH($B97,'계약'!$B$5:$B$204,0)),""))&lt;&gt;"","대여중","쉬는차"))</x:f>
      </x:c>
      <x:c r="F97" s="35" t="str">
        <x:f>IF($B97="","",IFERROR(INDEX('계약'!$G$5:$G$204,MATCH($B97,'계약'!$B$5:$B$204,0)),""))</x:f>
      </x:c>
      <x:c r="G97" s="276" t="str">
        <x:f>IF($B97="","",IFERROR(INDEX('계약'!$H$5:$H$204,MATCH($B97,'계약'!$B$5:$B$204,0)),""))</x:f>
      </x:c>
      <x:c r="H97" s="276" t="str">
        <x:f>IF($B97="","",IFERROR(INDEX('계약'!$I$5:$I$204,MATCH($B97,'계약'!$B$5:$B$204,0)),""))</x:f>
      </x:c>
      <x:c r="I97" s="35" t="str">
        <x:f>IF(H97="","",IF(H97&lt;'요약'!$B$2,"만료",(YEAR(H97)-YEAR('요약'!$B$2))*12+MONTH(H97)-MONTH('요약'!$B$2)))</x:f>
      </x:c>
      <x:c r="J97" s="279" t="str">
        <x:f>IF($B97="","",IFERROR(INDEX('계약'!$K$5:$K$204,MATCH($B97,'계약'!$B$5:$B$204,0)),""))</x:f>
      </x:c>
      <x:c r="K97" s="279" t="str">
        <x:f>IF($B97="","",IFERROR(INDEX('계약'!$L$5:$L$204,MATCH($B97,'계약'!$B$5:$B$204,0)),""))</x:f>
      </x:c>
      <x:c r="L97" s="279" t="str">
        <x:f>IF($B97="","",IFERROR(INDEX('수납'!$E$5:$E$204,MATCH($B97,'수납'!$B$5:$B$204,0)),0))</x:f>
      </x:c>
      <x:c r="M97" s="35" t="str">
        <x:f>IF($B97="","",IFERROR(INDEX('수납'!$D$5:$D$204,MATCH($B97,'수납'!$B$5:$B$204,0)),0))</x:f>
      </x:c>
      <x:c r="N97" s="35" t="str">
        <x:f>IF($B97="","",IFERROR(INDEX('계약'!$M$5:$M$204,MATCH($B97,'계약'!$B$5:$B$204,0)),""))</x:f>
      </x:c>
      <x:c r="O97" s="1"/>
      <x:c r="P97" s="1"/>
      <x:c r="Q97" s="1"/>
      <x:c r="R97" s="1"/>
      <x:c r="S97" s="1"/>
      <x:c r="T97" s="1"/>
      <x:c r="U97" s="1"/>
      <x:c r="V97" s="1"/>
      <x:c r="W97" s="1"/>
      <x:c r="X97" s="1"/>
      <x:c r="Y97" s="1"/>
      <x:c r="Z97" s="1"/>
      <x:c r="AA97" s="1"/>
      <x:c r="AB97" s="1"/>
      <x:c r="AC97" s="1"/>
      <x:c r="AD97" s="1"/>
      <x:c r="AE97" s="1"/>
    </x:row>
    <x:row r="98" ht="18" customHeight="1">
      <x:c r="A98" s="273" t="str">
        <x:f>IF(B98="","",94)</x:f>
      </x:c>
      <x:c r="B98" s="35" t="str">
        <x:f>IFERROR(INDEX('자산'!$B$5:$B$204,MATCH(94,'자산'!$Z$5:$Z$204,0)),"")</x:f>
      </x:c>
      <x:c r="C98" s="35" t="str">
        <x:f>IF($B98="","",IFERROR(INDEX('자산'!$C$5:$C$204,MATCH($B98,'자산'!$B$5:$B$204,0)),""))</x:f>
      </x:c>
      <x:c r="D98" s="273" t="str">
        <x:f>IF($B98="","",IFERROR(INDEX('자산'!$D$5:$D$204,MATCH($B98,'자산'!$B$5:$B$204,0)),""))</x:f>
      </x:c>
      <x:c r="E98" s="273" t="str">
        <x:f>IF(B98="","",IF(IF($B98="","",IFERROR(INDEX('계약'!$G$5:$G$204,MATCH($B98,'계약'!$B$5:$B$204,0)),""))&lt;&gt;"","대여중","쉬는차"))</x:f>
      </x:c>
      <x:c r="F98" s="35" t="str">
        <x:f>IF($B98="","",IFERROR(INDEX('계약'!$G$5:$G$204,MATCH($B98,'계약'!$B$5:$B$204,0)),""))</x:f>
      </x:c>
      <x:c r="G98" s="276" t="str">
        <x:f>IF($B98="","",IFERROR(INDEX('계약'!$H$5:$H$204,MATCH($B98,'계약'!$B$5:$B$204,0)),""))</x:f>
      </x:c>
      <x:c r="H98" s="276" t="str">
        <x:f>IF($B98="","",IFERROR(INDEX('계약'!$I$5:$I$204,MATCH($B98,'계약'!$B$5:$B$204,0)),""))</x:f>
      </x:c>
      <x:c r="I98" s="35" t="str">
        <x:f>IF(H98="","",IF(H98&lt;'요약'!$B$2,"만료",(YEAR(H98)-YEAR('요약'!$B$2))*12+MONTH(H98)-MONTH('요약'!$B$2)))</x:f>
      </x:c>
      <x:c r="J98" s="279" t="str">
        <x:f>IF($B98="","",IFERROR(INDEX('계약'!$K$5:$K$204,MATCH($B98,'계약'!$B$5:$B$204,0)),""))</x:f>
      </x:c>
      <x:c r="K98" s="279" t="str">
        <x:f>IF($B98="","",IFERROR(INDEX('계약'!$L$5:$L$204,MATCH($B98,'계약'!$B$5:$B$204,0)),""))</x:f>
      </x:c>
      <x:c r="L98" s="279" t="str">
        <x:f>IF($B98="","",IFERROR(INDEX('수납'!$E$5:$E$204,MATCH($B98,'수납'!$B$5:$B$204,0)),0))</x:f>
      </x:c>
      <x:c r="M98" s="35" t="str">
        <x:f>IF($B98="","",IFERROR(INDEX('수납'!$D$5:$D$204,MATCH($B98,'수납'!$B$5:$B$204,0)),0))</x:f>
      </x:c>
      <x:c r="N98" s="35" t="str">
        <x:f>IF($B98="","",IFERROR(INDEX('계약'!$M$5:$M$204,MATCH($B98,'계약'!$B$5:$B$204,0)),""))</x:f>
      </x:c>
      <x:c r="O98" s="1"/>
      <x:c r="P98" s="1"/>
      <x:c r="Q98" s="1"/>
      <x:c r="R98" s="1"/>
      <x:c r="S98" s="1"/>
      <x:c r="T98" s="1"/>
      <x:c r="U98" s="1"/>
      <x:c r="V98" s="1"/>
      <x:c r="W98" s="1"/>
      <x:c r="X98" s="1"/>
      <x:c r="Y98" s="1"/>
      <x:c r="Z98" s="1"/>
      <x:c r="AA98" s="1"/>
      <x:c r="AB98" s="1"/>
      <x:c r="AC98" s="1"/>
      <x:c r="AD98" s="1"/>
      <x:c r="AE98" s="1"/>
    </x:row>
    <x:row r="99" ht="18" customHeight="1">
      <x:c r="A99" s="273" t="str">
        <x:f>IF(B99="","",95)</x:f>
      </x:c>
      <x:c r="B99" s="35" t="str">
        <x:f>IFERROR(INDEX('자산'!$B$5:$B$204,MATCH(95,'자산'!$Z$5:$Z$204,0)),"")</x:f>
      </x:c>
      <x:c r="C99" s="35" t="str">
        <x:f>IF($B99="","",IFERROR(INDEX('자산'!$C$5:$C$204,MATCH($B99,'자산'!$B$5:$B$204,0)),""))</x:f>
      </x:c>
      <x:c r="D99" s="273" t="str">
        <x:f>IF($B99="","",IFERROR(INDEX('자산'!$D$5:$D$204,MATCH($B99,'자산'!$B$5:$B$204,0)),""))</x:f>
      </x:c>
      <x:c r="E99" s="273" t="str">
        <x:f>IF(B99="","",IF(IF($B99="","",IFERROR(INDEX('계약'!$G$5:$G$204,MATCH($B99,'계약'!$B$5:$B$204,0)),""))&lt;&gt;"","대여중","쉬는차"))</x:f>
      </x:c>
      <x:c r="F99" s="35" t="str">
        <x:f>IF($B99="","",IFERROR(INDEX('계약'!$G$5:$G$204,MATCH($B99,'계약'!$B$5:$B$204,0)),""))</x:f>
      </x:c>
      <x:c r="G99" s="276" t="str">
        <x:f>IF($B99="","",IFERROR(INDEX('계약'!$H$5:$H$204,MATCH($B99,'계약'!$B$5:$B$204,0)),""))</x:f>
      </x:c>
      <x:c r="H99" s="276" t="str">
        <x:f>IF($B99="","",IFERROR(INDEX('계약'!$I$5:$I$204,MATCH($B99,'계약'!$B$5:$B$204,0)),""))</x:f>
      </x:c>
      <x:c r="I99" s="35" t="str">
        <x:f>IF(H99="","",IF(H99&lt;'요약'!$B$2,"만료",(YEAR(H99)-YEAR('요약'!$B$2))*12+MONTH(H99)-MONTH('요약'!$B$2)))</x:f>
      </x:c>
      <x:c r="J99" s="279" t="str">
        <x:f>IF($B99="","",IFERROR(INDEX('계약'!$K$5:$K$204,MATCH($B99,'계약'!$B$5:$B$204,0)),""))</x:f>
      </x:c>
      <x:c r="K99" s="279" t="str">
        <x:f>IF($B99="","",IFERROR(INDEX('계약'!$L$5:$L$204,MATCH($B99,'계약'!$B$5:$B$204,0)),""))</x:f>
      </x:c>
      <x:c r="L99" s="279" t="str">
        <x:f>IF($B99="","",IFERROR(INDEX('수납'!$E$5:$E$204,MATCH($B99,'수납'!$B$5:$B$204,0)),0))</x:f>
      </x:c>
      <x:c r="M99" s="35" t="str">
        <x:f>IF($B99="","",IFERROR(INDEX('수납'!$D$5:$D$204,MATCH($B99,'수납'!$B$5:$B$204,0)),0))</x:f>
      </x:c>
      <x:c r="N99" s="35" t="str">
        <x:f>IF($B99="","",IFERROR(INDEX('계약'!$M$5:$M$204,MATCH($B99,'계약'!$B$5:$B$204,0)),""))</x:f>
      </x:c>
      <x:c r="O99" s="1"/>
      <x:c r="P99" s="1"/>
      <x:c r="Q99" s="1"/>
      <x:c r="R99" s="1"/>
      <x:c r="S99" s="1"/>
      <x:c r="T99" s="1"/>
      <x:c r="U99" s="1"/>
      <x:c r="V99" s="1"/>
      <x:c r="W99" s="1"/>
      <x:c r="X99" s="1"/>
      <x:c r="Y99" s="1"/>
      <x:c r="Z99" s="1"/>
      <x:c r="AA99" s="1"/>
      <x:c r="AB99" s="1"/>
      <x:c r="AC99" s="1"/>
      <x:c r="AD99" s="1"/>
      <x:c r="AE99" s="1"/>
    </x:row>
    <x:row r="100" ht="18" customHeight="1">
      <x:c r="A100" s="273" t="str">
        <x:f>IF(B100="","",96)</x:f>
      </x:c>
      <x:c r="B100" s="35" t="str">
        <x:f>IFERROR(INDEX('자산'!$B$5:$B$204,MATCH(96,'자산'!$Z$5:$Z$204,0)),"")</x:f>
      </x:c>
      <x:c r="C100" s="35" t="str">
        <x:f>IF($B100="","",IFERROR(INDEX('자산'!$C$5:$C$204,MATCH($B100,'자산'!$B$5:$B$204,0)),""))</x:f>
      </x:c>
      <x:c r="D100" s="273" t="str">
        <x:f>IF($B100="","",IFERROR(INDEX('자산'!$D$5:$D$204,MATCH($B100,'자산'!$B$5:$B$204,0)),""))</x:f>
      </x:c>
      <x:c r="E100" s="273" t="str">
        <x:f>IF(B100="","",IF(IF($B100="","",IFERROR(INDEX('계약'!$G$5:$G$204,MATCH($B100,'계약'!$B$5:$B$204,0)),""))&lt;&gt;"","대여중","쉬는차"))</x:f>
      </x:c>
      <x:c r="F100" s="35" t="str">
        <x:f>IF($B100="","",IFERROR(INDEX('계약'!$G$5:$G$204,MATCH($B100,'계약'!$B$5:$B$204,0)),""))</x:f>
      </x:c>
      <x:c r="G100" s="276" t="str">
        <x:f>IF($B100="","",IFERROR(INDEX('계약'!$H$5:$H$204,MATCH($B100,'계약'!$B$5:$B$204,0)),""))</x:f>
      </x:c>
      <x:c r="H100" s="276" t="str">
        <x:f>IF($B100="","",IFERROR(INDEX('계약'!$I$5:$I$204,MATCH($B100,'계약'!$B$5:$B$204,0)),""))</x:f>
      </x:c>
      <x:c r="I100" s="35" t="str">
        <x:f>IF(H100="","",IF(H100&lt;'요약'!$B$2,"만료",(YEAR(H100)-YEAR('요약'!$B$2))*12+MONTH(H100)-MONTH('요약'!$B$2)))</x:f>
      </x:c>
      <x:c r="J100" s="279" t="str">
        <x:f>IF($B100="","",IFERROR(INDEX('계약'!$K$5:$K$204,MATCH($B100,'계약'!$B$5:$B$204,0)),""))</x:f>
      </x:c>
      <x:c r="K100" s="279" t="str">
        <x:f>IF($B100="","",IFERROR(INDEX('계약'!$L$5:$L$204,MATCH($B100,'계약'!$B$5:$B$204,0)),""))</x:f>
      </x:c>
      <x:c r="L100" s="279" t="str">
        <x:f>IF($B100="","",IFERROR(INDEX('수납'!$E$5:$E$204,MATCH($B100,'수납'!$B$5:$B$204,0)),0))</x:f>
      </x:c>
      <x:c r="M100" s="35" t="str">
        <x:f>IF($B100="","",IFERROR(INDEX('수납'!$D$5:$D$204,MATCH($B100,'수납'!$B$5:$B$204,0)),0))</x:f>
      </x:c>
      <x:c r="N100" s="35" t="str">
        <x:f>IF($B100="","",IFERROR(INDEX('계약'!$M$5:$M$204,MATCH($B100,'계약'!$B$5:$B$204,0)),""))</x:f>
      </x:c>
      <x:c r="O100" s="1"/>
      <x:c r="P100" s="1"/>
      <x:c r="Q100" s="1"/>
      <x:c r="R100" s="1"/>
      <x:c r="S100" s="1"/>
      <x:c r="T100" s="1"/>
      <x:c r="U100" s="1"/>
      <x:c r="V100" s="1"/>
      <x:c r="W100" s="1"/>
      <x:c r="X100" s="1"/>
      <x:c r="Y100" s="1"/>
      <x:c r="Z100" s="1"/>
      <x:c r="AA100" s="1"/>
      <x:c r="AB100" s="1"/>
      <x:c r="AC100" s="1"/>
      <x:c r="AD100" s="1"/>
      <x:c r="AE100" s="1"/>
    </x:row>
    <x:row r="101" ht="18" customHeight="1">
      <x:c r="A101" s="273" t="str">
        <x:f>IF(B101="","",97)</x:f>
      </x:c>
      <x:c r="B101" s="35" t="str">
        <x:f>IFERROR(INDEX('자산'!$B$5:$B$204,MATCH(97,'자산'!$Z$5:$Z$204,0)),"")</x:f>
      </x:c>
      <x:c r="C101" s="35" t="str">
        <x:f>IF($B101="","",IFERROR(INDEX('자산'!$C$5:$C$204,MATCH($B101,'자산'!$B$5:$B$204,0)),""))</x:f>
      </x:c>
      <x:c r="D101" s="273" t="str">
        <x:f>IF($B101="","",IFERROR(INDEX('자산'!$D$5:$D$204,MATCH($B101,'자산'!$B$5:$B$204,0)),""))</x:f>
      </x:c>
      <x:c r="E101" s="273" t="str">
        <x:f>IF(B101="","",IF(IF($B101="","",IFERROR(INDEX('계약'!$G$5:$G$204,MATCH($B101,'계약'!$B$5:$B$204,0)),""))&lt;&gt;"","대여중","쉬는차"))</x:f>
      </x:c>
      <x:c r="F101" s="35" t="str">
        <x:f>IF($B101="","",IFERROR(INDEX('계약'!$G$5:$G$204,MATCH($B101,'계약'!$B$5:$B$204,0)),""))</x:f>
      </x:c>
      <x:c r="G101" s="276" t="str">
        <x:f>IF($B101="","",IFERROR(INDEX('계약'!$H$5:$H$204,MATCH($B101,'계약'!$B$5:$B$204,0)),""))</x:f>
      </x:c>
      <x:c r="H101" s="276" t="str">
        <x:f>IF($B101="","",IFERROR(INDEX('계약'!$I$5:$I$204,MATCH($B101,'계약'!$B$5:$B$204,0)),""))</x:f>
      </x:c>
      <x:c r="I101" s="35" t="str">
        <x:f>IF(H101="","",IF(H101&lt;'요약'!$B$2,"만료",(YEAR(H101)-YEAR('요약'!$B$2))*12+MONTH(H101)-MONTH('요약'!$B$2)))</x:f>
      </x:c>
      <x:c r="J101" s="279" t="str">
        <x:f>IF($B101="","",IFERROR(INDEX('계약'!$K$5:$K$204,MATCH($B101,'계약'!$B$5:$B$204,0)),""))</x:f>
      </x:c>
      <x:c r="K101" s="279" t="str">
        <x:f>IF($B101="","",IFERROR(INDEX('계약'!$L$5:$L$204,MATCH($B101,'계약'!$B$5:$B$204,0)),""))</x:f>
      </x:c>
      <x:c r="L101" s="279" t="str">
        <x:f>IF($B101="","",IFERROR(INDEX('수납'!$E$5:$E$204,MATCH($B101,'수납'!$B$5:$B$204,0)),0))</x:f>
      </x:c>
      <x:c r="M101" s="35" t="str">
        <x:f>IF($B101="","",IFERROR(INDEX('수납'!$D$5:$D$204,MATCH($B101,'수납'!$B$5:$B$204,0)),0))</x:f>
      </x:c>
      <x:c r="N101" s="35" t="str">
        <x:f>IF($B101="","",IFERROR(INDEX('계약'!$M$5:$M$204,MATCH($B101,'계약'!$B$5:$B$204,0)),""))</x:f>
      </x:c>
      <x:c r="O101" s="1"/>
      <x:c r="P101" s="1"/>
      <x:c r="Q101" s="1"/>
      <x:c r="R101" s="1"/>
      <x:c r="S101" s="1"/>
      <x:c r="T101" s="1"/>
      <x:c r="U101" s="1"/>
      <x:c r="V101" s="1"/>
      <x:c r="W101" s="1"/>
      <x:c r="X101" s="1"/>
      <x:c r="Y101" s="1"/>
      <x:c r="Z101" s="1"/>
      <x:c r="AA101" s="1"/>
      <x:c r="AB101" s="1"/>
      <x:c r="AC101" s="1"/>
      <x:c r="AD101" s="1"/>
      <x:c r="AE101" s="1"/>
    </x:row>
    <x:row r="102" ht="18" customHeight="1">
      <x:c r="A102" s="273" t="str">
        <x:f>IF(B102="","",98)</x:f>
      </x:c>
      <x:c r="B102" s="35" t="str">
        <x:f>IFERROR(INDEX('자산'!$B$5:$B$204,MATCH(98,'자산'!$Z$5:$Z$204,0)),"")</x:f>
      </x:c>
      <x:c r="C102" s="35" t="str">
        <x:f>IF($B102="","",IFERROR(INDEX('자산'!$C$5:$C$204,MATCH($B102,'자산'!$B$5:$B$204,0)),""))</x:f>
      </x:c>
      <x:c r="D102" s="273" t="str">
        <x:f>IF($B102="","",IFERROR(INDEX('자산'!$D$5:$D$204,MATCH($B102,'자산'!$B$5:$B$204,0)),""))</x:f>
      </x:c>
      <x:c r="E102" s="273" t="str">
        <x:f>IF(B102="","",IF(IF($B102="","",IFERROR(INDEX('계약'!$G$5:$G$204,MATCH($B102,'계약'!$B$5:$B$204,0)),""))&lt;&gt;"","대여중","쉬는차"))</x:f>
      </x:c>
      <x:c r="F102" s="35" t="str">
        <x:f>IF($B102="","",IFERROR(INDEX('계약'!$G$5:$G$204,MATCH($B102,'계약'!$B$5:$B$204,0)),""))</x:f>
      </x:c>
      <x:c r="G102" s="276" t="str">
        <x:f>IF($B102="","",IFERROR(INDEX('계약'!$H$5:$H$204,MATCH($B102,'계약'!$B$5:$B$204,0)),""))</x:f>
      </x:c>
      <x:c r="H102" s="276" t="str">
        <x:f>IF($B102="","",IFERROR(INDEX('계약'!$I$5:$I$204,MATCH($B102,'계약'!$B$5:$B$204,0)),""))</x:f>
      </x:c>
      <x:c r="I102" s="35" t="str">
        <x:f>IF(H102="","",IF(H102&lt;'요약'!$B$2,"만료",(YEAR(H102)-YEAR('요약'!$B$2))*12+MONTH(H102)-MONTH('요약'!$B$2)))</x:f>
      </x:c>
      <x:c r="J102" s="279" t="str">
        <x:f>IF($B102="","",IFERROR(INDEX('계약'!$K$5:$K$204,MATCH($B102,'계약'!$B$5:$B$204,0)),""))</x:f>
      </x:c>
      <x:c r="K102" s="279" t="str">
        <x:f>IF($B102="","",IFERROR(INDEX('계약'!$L$5:$L$204,MATCH($B102,'계약'!$B$5:$B$204,0)),""))</x:f>
      </x:c>
      <x:c r="L102" s="279" t="str">
        <x:f>IF($B102="","",IFERROR(INDEX('수납'!$E$5:$E$204,MATCH($B102,'수납'!$B$5:$B$204,0)),0))</x:f>
      </x:c>
      <x:c r="M102" s="35" t="str">
        <x:f>IF($B102="","",IFERROR(INDEX('수납'!$D$5:$D$204,MATCH($B102,'수납'!$B$5:$B$204,0)),0))</x:f>
      </x:c>
      <x:c r="N102" s="35" t="str">
        <x:f>IF($B102="","",IFERROR(INDEX('계약'!$M$5:$M$204,MATCH($B102,'계약'!$B$5:$B$204,0)),""))</x:f>
      </x:c>
      <x:c r="O102" s="1"/>
      <x:c r="P102" s="1"/>
      <x:c r="Q102" s="1"/>
      <x:c r="R102" s="1"/>
      <x:c r="S102" s="1"/>
      <x:c r="T102" s="1"/>
      <x:c r="U102" s="1"/>
      <x:c r="V102" s="1"/>
      <x:c r="W102" s="1"/>
      <x:c r="X102" s="1"/>
      <x:c r="Y102" s="1"/>
      <x:c r="Z102" s="1"/>
      <x:c r="AA102" s="1"/>
      <x:c r="AB102" s="1"/>
      <x:c r="AC102" s="1"/>
      <x:c r="AD102" s="1"/>
      <x:c r="AE102" s="1"/>
    </x:row>
    <x:row r="103" ht="18" customHeight="1">
      <x:c r="A103" s="273" t="str">
        <x:f>IF(B103="","",99)</x:f>
      </x:c>
      <x:c r="B103" s="35" t="str">
        <x:f>IFERROR(INDEX('자산'!$B$5:$B$204,MATCH(99,'자산'!$Z$5:$Z$204,0)),"")</x:f>
      </x:c>
      <x:c r="C103" s="35" t="str">
        <x:f>IF($B103="","",IFERROR(INDEX('자산'!$C$5:$C$204,MATCH($B103,'자산'!$B$5:$B$204,0)),""))</x:f>
      </x:c>
      <x:c r="D103" s="273" t="str">
        <x:f>IF($B103="","",IFERROR(INDEX('자산'!$D$5:$D$204,MATCH($B103,'자산'!$B$5:$B$204,0)),""))</x:f>
      </x:c>
      <x:c r="E103" s="273" t="str">
        <x:f>IF(B103="","",IF(IF($B103="","",IFERROR(INDEX('계약'!$G$5:$G$204,MATCH($B103,'계약'!$B$5:$B$204,0)),""))&lt;&gt;"","대여중","쉬는차"))</x:f>
      </x:c>
      <x:c r="F103" s="35" t="str">
        <x:f>IF($B103="","",IFERROR(INDEX('계약'!$G$5:$G$204,MATCH($B103,'계약'!$B$5:$B$204,0)),""))</x:f>
      </x:c>
      <x:c r="G103" s="276" t="str">
        <x:f>IF($B103="","",IFERROR(INDEX('계약'!$H$5:$H$204,MATCH($B103,'계약'!$B$5:$B$204,0)),""))</x:f>
      </x:c>
      <x:c r="H103" s="276" t="str">
        <x:f>IF($B103="","",IFERROR(INDEX('계약'!$I$5:$I$204,MATCH($B103,'계약'!$B$5:$B$204,0)),""))</x:f>
      </x:c>
      <x:c r="I103" s="35" t="str">
        <x:f>IF(H103="","",IF(H103&lt;'요약'!$B$2,"만료",(YEAR(H103)-YEAR('요약'!$B$2))*12+MONTH(H103)-MONTH('요약'!$B$2)))</x:f>
      </x:c>
      <x:c r="J103" s="279" t="str">
        <x:f>IF($B103="","",IFERROR(INDEX('계약'!$K$5:$K$204,MATCH($B103,'계약'!$B$5:$B$204,0)),""))</x:f>
      </x:c>
      <x:c r="K103" s="279" t="str">
        <x:f>IF($B103="","",IFERROR(INDEX('계약'!$L$5:$L$204,MATCH($B103,'계약'!$B$5:$B$204,0)),""))</x:f>
      </x:c>
      <x:c r="L103" s="279" t="str">
        <x:f>IF($B103="","",IFERROR(INDEX('수납'!$E$5:$E$204,MATCH($B103,'수납'!$B$5:$B$204,0)),0))</x:f>
      </x:c>
      <x:c r="M103" s="35" t="str">
        <x:f>IF($B103="","",IFERROR(INDEX('수납'!$D$5:$D$204,MATCH($B103,'수납'!$B$5:$B$204,0)),0))</x:f>
      </x:c>
      <x:c r="N103" s="35" t="str">
        <x:f>IF($B103="","",IFERROR(INDEX('계약'!$M$5:$M$204,MATCH($B103,'계약'!$B$5:$B$204,0)),""))</x:f>
      </x:c>
      <x:c r="O103" s="1"/>
      <x:c r="P103" s="1"/>
      <x:c r="Q103" s="1"/>
      <x:c r="R103" s="1"/>
      <x:c r="S103" s="1"/>
      <x:c r="T103" s="1"/>
      <x:c r="U103" s="1"/>
      <x:c r="V103" s="1"/>
      <x:c r="W103" s="1"/>
      <x:c r="X103" s="1"/>
      <x:c r="Y103" s="1"/>
      <x:c r="Z103" s="1"/>
      <x:c r="AA103" s="1"/>
      <x:c r="AB103" s="1"/>
      <x:c r="AC103" s="1"/>
      <x:c r="AD103" s="1"/>
      <x:c r="AE103" s="1"/>
    </x:row>
    <x:row r="104" ht="18" customHeight="1">
      <x:c r="A104" s="273" t="str">
        <x:f>IF(B104="","",100)</x:f>
      </x:c>
      <x:c r="B104" s="35" t="str">
        <x:f>IFERROR(INDEX('자산'!$B$5:$B$204,MATCH(100,'자산'!$Z$5:$Z$204,0)),"")</x:f>
      </x:c>
      <x:c r="C104" s="35" t="str">
        <x:f>IF($B104="","",IFERROR(INDEX('자산'!$C$5:$C$204,MATCH($B104,'자산'!$B$5:$B$204,0)),""))</x:f>
      </x:c>
      <x:c r="D104" s="273" t="str">
        <x:f>IF($B104="","",IFERROR(INDEX('자산'!$D$5:$D$204,MATCH($B104,'자산'!$B$5:$B$204,0)),""))</x:f>
      </x:c>
      <x:c r="E104" s="273" t="str">
        <x:f>IF(B104="","",IF(IF($B104="","",IFERROR(INDEX('계약'!$G$5:$G$204,MATCH($B104,'계약'!$B$5:$B$204,0)),""))&lt;&gt;"","대여중","쉬는차"))</x:f>
      </x:c>
      <x:c r="F104" s="35" t="str">
        <x:f>IF($B104="","",IFERROR(INDEX('계약'!$G$5:$G$204,MATCH($B104,'계약'!$B$5:$B$204,0)),""))</x:f>
      </x:c>
      <x:c r="G104" s="276" t="str">
        <x:f>IF($B104="","",IFERROR(INDEX('계약'!$H$5:$H$204,MATCH($B104,'계약'!$B$5:$B$204,0)),""))</x:f>
      </x:c>
      <x:c r="H104" s="276" t="str">
        <x:f>IF($B104="","",IFERROR(INDEX('계약'!$I$5:$I$204,MATCH($B104,'계약'!$B$5:$B$204,0)),""))</x:f>
      </x:c>
      <x:c r="I104" s="35" t="str">
        <x:f>IF(H104="","",IF(H104&lt;'요약'!$B$2,"만료",(YEAR(H104)-YEAR('요약'!$B$2))*12+MONTH(H104)-MONTH('요약'!$B$2)))</x:f>
      </x:c>
      <x:c r="J104" s="279" t="str">
        <x:f>IF($B104="","",IFERROR(INDEX('계약'!$K$5:$K$204,MATCH($B104,'계약'!$B$5:$B$204,0)),""))</x:f>
      </x:c>
      <x:c r="K104" s="279" t="str">
        <x:f>IF($B104="","",IFERROR(INDEX('계약'!$L$5:$L$204,MATCH($B104,'계약'!$B$5:$B$204,0)),""))</x:f>
      </x:c>
      <x:c r="L104" s="279" t="str">
        <x:f>IF($B104="","",IFERROR(INDEX('수납'!$E$5:$E$204,MATCH($B104,'수납'!$B$5:$B$204,0)),0))</x:f>
      </x:c>
      <x:c r="M104" s="35" t="str">
        <x:f>IF($B104="","",IFERROR(INDEX('수납'!$D$5:$D$204,MATCH($B104,'수납'!$B$5:$B$204,0)),0))</x:f>
      </x:c>
      <x:c r="N104" s="35" t="str">
        <x:f>IF($B104="","",IFERROR(INDEX('계약'!$M$5:$M$204,MATCH($B104,'계약'!$B$5:$B$204,0)),""))</x:f>
      </x:c>
      <x:c r="O104" s="1"/>
      <x:c r="P104" s="1"/>
      <x:c r="Q104" s="1"/>
      <x:c r="R104" s="1"/>
      <x:c r="S104" s="1"/>
      <x:c r="T104" s="1"/>
      <x:c r="U104" s="1"/>
      <x:c r="V104" s="1"/>
      <x:c r="W104" s="1"/>
      <x:c r="X104" s="1"/>
      <x:c r="Y104" s="1"/>
      <x:c r="Z104" s="1"/>
      <x:c r="AA104" s="1"/>
      <x:c r="AB104" s="1"/>
      <x:c r="AC104" s="1"/>
      <x:c r="AD104" s="1"/>
      <x:c r="AE104" s="1"/>
    </x:row>
    <x:row r="105" ht="18" customHeight="1">
      <x:c r="A105" s="273" t="str">
        <x:f>IF(B105="","",101)</x:f>
      </x:c>
      <x:c r="B105" s="35" t="str">
        <x:f>IFERROR(INDEX('자산'!$B$5:$B$204,MATCH(101,'자산'!$Z$5:$Z$204,0)),"")</x:f>
      </x:c>
      <x:c r="C105" s="35" t="str">
        <x:f>IF($B105="","",IFERROR(INDEX('자산'!$C$5:$C$204,MATCH($B105,'자산'!$B$5:$B$204,0)),""))</x:f>
      </x:c>
      <x:c r="D105" s="273" t="str">
        <x:f>IF($B105="","",IFERROR(INDEX('자산'!$D$5:$D$204,MATCH($B105,'자산'!$B$5:$B$204,0)),""))</x:f>
      </x:c>
      <x:c r="E105" s="273" t="str">
        <x:f>IF(B105="","",IF(IF($B105="","",IFERROR(INDEX('계약'!$G$5:$G$204,MATCH($B105,'계약'!$B$5:$B$204,0)),""))&lt;&gt;"","대여중","쉬는차"))</x:f>
      </x:c>
      <x:c r="F105" s="35" t="str">
        <x:f>IF($B105="","",IFERROR(INDEX('계약'!$G$5:$G$204,MATCH($B105,'계약'!$B$5:$B$204,0)),""))</x:f>
      </x:c>
      <x:c r="G105" s="276" t="str">
        <x:f>IF($B105="","",IFERROR(INDEX('계약'!$H$5:$H$204,MATCH($B105,'계약'!$B$5:$B$204,0)),""))</x:f>
      </x:c>
      <x:c r="H105" s="276" t="str">
        <x:f>IF($B105="","",IFERROR(INDEX('계약'!$I$5:$I$204,MATCH($B105,'계약'!$B$5:$B$204,0)),""))</x:f>
      </x:c>
      <x:c r="I105" s="35" t="str">
        <x:f>IF(H105="","",IF(H105&lt;'요약'!$B$2,"만료",(YEAR(H105)-YEAR('요약'!$B$2))*12+MONTH(H105)-MONTH('요약'!$B$2)))</x:f>
      </x:c>
      <x:c r="J105" s="279" t="str">
        <x:f>IF($B105="","",IFERROR(INDEX('계약'!$K$5:$K$204,MATCH($B105,'계약'!$B$5:$B$204,0)),""))</x:f>
      </x:c>
      <x:c r="K105" s="279" t="str">
        <x:f>IF($B105="","",IFERROR(INDEX('계약'!$L$5:$L$204,MATCH($B105,'계약'!$B$5:$B$204,0)),""))</x:f>
      </x:c>
      <x:c r="L105" s="279" t="str">
        <x:f>IF($B105="","",IFERROR(INDEX('수납'!$E$5:$E$204,MATCH($B105,'수납'!$B$5:$B$204,0)),0))</x:f>
      </x:c>
      <x:c r="M105" s="35" t="str">
        <x:f>IF($B105="","",IFERROR(INDEX('수납'!$D$5:$D$204,MATCH($B105,'수납'!$B$5:$B$204,0)),0))</x:f>
      </x:c>
      <x:c r="N105" s="35" t="str">
        <x:f>IF($B105="","",IFERROR(INDEX('계약'!$M$5:$M$204,MATCH($B105,'계약'!$B$5:$B$204,0)),""))</x:f>
      </x:c>
      <x:c r="O105" s="1"/>
      <x:c r="P105" s="1"/>
      <x:c r="Q105" s="1"/>
      <x:c r="R105" s="1"/>
      <x:c r="S105" s="1"/>
      <x:c r="T105" s="1"/>
      <x:c r="U105" s="1"/>
      <x:c r="V105" s="1"/>
      <x:c r="W105" s="1"/>
      <x:c r="X105" s="1"/>
      <x:c r="Y105" s="1"/>
      <x:c r="Z105" s="1"/>
      <x:c r="AA105" s="1"/>
      <x:c r="AB105" s="1"/>
      <x:c r="AC105" s="1"/>
      <x:c r="AD105" s="1"/>
      <x:c r="AE105" s="1"/>
    </x:row>
    <x:row r="106" ht="18" customHeight="1">
      <x:c r="A106" s="273" t="str">
        <x:f>IF(B106="","",102)</x:f>
      </x:c>
      <x:c r="B106" s="35" t="str">
        <x:f>IFERROR(INDEX('자산'!$B$5:$B$204,MATCH(102,'자산'!$Z$5:$Z$204,0)),"")</x:f>
      </x:c>
      <x:c r="C106" s="35" t="str">
        <x:f>IF($B106="","",IFERROR(INDEX('자산'!$C$5:$C$204,MATCH($B106,'자산'!$B$5:$B$204,0)),""))</x:f>
      </x:c>
      <x:c r="D106" s="273" t="str">
        <x:f>IF($B106="","",IFERROR(INDEX('자산'!$D$5:$D$204,MATCH($B106,'자산'!$B$5:$B$204,0)),""))</x:f>
      </x:c>
      <x:c r="E106" s="273" t="str">
        <x:f>IF(B106="","",IF(IF($B106="","",IFERROR(INDEX('계약'!$G$5:$G$204,MATCH($B106,'계약'!$B$5:$B$204,0)),""))&lt;&gt;"","대여중","쉬는차"))</x:f>
      </x:c>
      <x:c r="F106" s="35" t="str">
        <x:f>IF($B106="","",IFERROR(INDEX('계약'!$G$5:$G$204,MATCH($B106,'계약'!$B$5:$B$204,0)),""))</x:f>
      </x:c>
      <x:c r="G106" s="276" t="str">
        <x:f>IF($B106="","",IFERROR(INDEX('계약'!$H$5:$H$204,MATCH($B106,'계약'!$B$5:$B$204,0)),""))</x:f>
      </x:c>
      <x:c r="H106" s="276" t="str">
        <x:f>IF($B106="","",IFERROR(INDEX('계약'!$I$5:$I$204,MATCH($B106,'계약'!$B$5:$B$204,0)),""))</x:f>
      </x:c>
      <x:c r="I106" s="35" t="str">
        <x:f>IF(H106="","",IF(H106&lt;'요약'!$B$2,"만료",(YEAR(H106)-YEAR('요약'!$B$2))*12+MONTH(H106)-MONTH('요약'!$B$2)))</x:f>
      </x:c>
      <x:c r="J106" s="279" t="str">
        <x:f>IF($B106="","",IFERROR(INDEX('계약'!$K$5:$K$204,MATCH($B106,'계약'!$B$5:$B$204,0)),""))</x:f>
      </x:c>
      <x:c r="K106" s="279" t="str">
        <x:f>IF($B106="","",IFERROR(INDEX('계약'!$L$5:$L$204,MATCH($B106,'계약'!$B$5:$B$204,0)),""))</x:f>
      </x:c>
      <x:c r="L106" s="279" t="str">
        <x:f>IF($B106="","",IFERROR(INDEX('수납'!$E$5:$E$204,MATCH($B106,'수납'!$B$5:$B$204,0)),0))</x:f>
      </x:c>
      <x:c r="M106" s="35" t="str">
        <x:f>IF($B106="","",IFERROR(INDEX('수납'!$D$5:$D$204,MATCH($B106,'수납'!$B$5:$B$204,0)),0))</x:f>
      </x:c>
      <x:c r="N106" s="35" t="str">
        <x:f>IF($B106="","",IFERROR(INDEX('계약'!$M$5:$M$204,MATCH($B106,'계약'!$B$5:$B$204,0)),""))</x:f>
      </x:c>
      <x:c r="O106" s="1"/>
      <x:c r="P106" s="1"/>
      <x:c r="Q106" s="1"/>
      <x:c r="R106" s="1"/>
      <x:c r="S106" s="1"/>
      <x:c r="T106" s="1"/>
      <x:c r="U106" s="1"/>
      <x:c r="V106" s="1"/>
      <x:c r="W106" s="1"/>
      <x:c r="X106" s="1"/>
      <x:c r="Y106" s="1"/>
      <x:c r="Z106" s="1"/>
      <x:c r="AA106" s="1"/>
      <x:c r="AB106" s="1"/>
      <x:c r="AC106" s="1"/>
      <x:c r="AD106" s="1"/>
      <x:c r="AE106" s="1"/>
    </x:row>
    <x:row r="107" ht="18" customHeight="1">
      <x:c r="A107" s="273" t="str">
        <x:f>IF(B107="","",103)</x:f>
      </x:c>
      <x:c r="B107" s="35" t="str">
        <x:f>IFERROR(INDEX('자산'!$B$5:$B$204,MATCH(103,'자산'!$Z$5:$Z$204,0)),"")</x:f>
      </x:c>
      <x:c r="C107" s="35" t="str">
        <x:f>IF($B107="","",IFERROR(INDEX('자산'!$C$5:$C$204,MATCH($B107,'자산'!$B$5:$B$204,0)),""))</x:f>
      </x:c>
      <x:c r="D107" s="273" t="str">
        <x:f>IF($B107="","",IFERROR(INDEX('자산'!$D$5:$D$204,MATCH($B107,'자산'!$B$5:$B$204,0)),""))</x:f>
      </x:c>
      <x:c r="E107" s="273" t="str">
        <x:f>IF(B107="","",IF(IF($B107="","",IFERROR(INDEX('계약'!$G$5:$G$204,MATCH($B107,'계약'!$B$5:$B$204,0)),""))&lt;&gt;"","대여중","쉬는차"))</x:f>
      </x:c>
      <x:c r="F107" s="35" t="str">
        <x:f>IF($B107="","",IFERROR(INDEX('계약'!$G$5:$G$204,MATCH($B107,'계약'!$B$5:$B$204,0)),""))</x:f>
      </x:c>
      <x:c r="G107" s="276" t="str">
        <x:f>IF($B107="","",IFERROR(INDEX('계약'!$H$5:$H$204,MATCH($B107,'계약'!$B$5:$B$204,0)),""))</x:f>
      </x:c>
      <x:c r="H107" s="276" t="str">
        <x:f>IF($B107="","",IFERROR(INDEX('계약'!$I$5:$I$204,MATCH($B107,'계약'!$B$5:$B$204,0)),""))</x:f>
      </x:c>
      <x:c r="I107" s="35" t="str">
        <x:f>IF(H107="","",IF(H107&lt;'요약'!$B$2,"만료",(YEAR(H107)-YEAR('요약'!$B$2))*12+MONTH(H107)-MONTH('요약'!$B$2)))</x:f>
      </x:c>
      <x:c r="J107" s="279" t="str">
        <x:f>IF($B107="","",IFERROR(INDEX('계약'!$K$5:$K$204,MATCH($B107,'계약'!$B$5:$B$204,0)),""))</x:f>
      </x:c>
      <x:c r="K107" s="279" t="str">
        <x:f>IF($B107="","",IFERROR(INDEX('계약'!$L$5:$L$204,MATCH($B107,'계약'!$B$5:$B$204,0)),""))</x:f>
      </x:c>
      <x:c r="L107" s="279" t="str">
        <x:f>IF($B107="","",IFERROR(INDEX('수납'!$E$5:$E$204,MATCH($B107,'수납'!$B$5:$B$204,0)),0))</x:f>
      </x:c>
      <x:c r="M107" s="35" t="str">
        <x:f>IF($B107="","",IFERROR(INDEX('수납'!$D$5:$D$204,MATCH($B107,'수납'!$B$5:$B$204,0)),0))</x:f>
      </x:c>
      <x:c r="N107" s="35" t="str">
        <x:f>IF($B107="","",IFERROR(INDEX('계약'!$M$5:$M$204,MATCH($B107,'계약'!$B$5:$B$204,0)),""))</x:f>
      </x:c>
      <x:c r="O107" s="1"/>
      <x:c r="P107" s="1"/>
      <x:c r="Q107" s="1"/>
      <x:c r="R107" s="1"/>
      <x:c r="S107" s="1"/>
      <x:c r="T107" s="1"/>
      <x:c r="U107" s="1"/>
      <x:c r="V107" s="1"/>
      <x:c r="W107" s="1"/>
      <x:c r="X107" s="1"/>
      <x:c r="Y107" s="1"/>
      <x:c r="Z107" s="1"/>
      <x:c r="AA107" s="1"/>
      <x:c r="AB107" s="1"/>
      <x:c r="AC107" s="1"/>
      <x:c r="AD107" s="1"/>
      <x:c r="AE107" s="1"/>
    </x:row>
    <x:row r="108" ht="18" customHeight="1">
      <x:c r="A108" s="273" t="str">
        <x:f>IF(B108="","",104)</x:f>
      </x:c>
      <x:c r="B108" s="35" t="str">
        <x:f>IFERROR(INDEX('자산'!$B$5:$B$204,MATCH(104,'자산'!$Z$5:$Z$204,0)),"")</x:f>
      </x:c>
      <x:c r="C108" s="35" t="str">
        <x:f>IF($B108="","",IFERROR(INDEX('자산'!$C$5:$C$204,MATCH($B108,'자산'!$B$5:$B$204,0)),""))</x:f>
      </x:c>
      <x:c r="D108" s="273" t="str">
        <x:f>IF($B108="","",IFERROR(INDEX('자산'!$D$5:$D$204,MATCH($B108,'자산'!$B$5:$B$204,0)),""))</x:f>
      </x:c>
      <x:c r="E108" s="273" t="str">
        <x:f>IF(B108="","",IF(IF($B108="","",IFERROR(INDEX('계약'!$G$5:$G$204,MATCH($B108,'계약'!$B$5:$B$204,0)),""))&lt;&gt;"","대여중","쉬는차"))</x:f>
      </x:c>
      <x:c r="F108" s="35" t="str">
        <x:f>IF($B108="","",IFERROR(INDEX('계약'!$G$5:$G$204,MATCH($B108,'계약'!$B$5:$B$204,0)),""))</x:f>
      </x:c>
      <x:c r="G108" s="276" t="str">
        <x:f>IF($B108="","",IFERROR(INDEX('계약'!$H$5:$H$204,MATCH($B108,'계약'!$B$5:$B$204,0)),""))</x:f>
      </x:c>
      <x:c r="H108" s="276" t="str">
        <x:f>IF($B108="","",IFERROR(INDEX('계약'!$I$5:$I$204,MATCH($B108,'계약'!$B$5:$B$204,0)),""))</x:f>
      </x:c>
      <x:c r="I108" s="35" t="str">
        <x:f>IF(H108="","",IF(H108&lt;'요약'!$B$2,"만료",(YEAR(H108)-YEAR('요약'!$B$2))*12+MONTH(H108)-MONTH('요약'!$B$2)))</x:f>
      </x:c>
      <x:c r="J108" s="279" t="str">
        <x:f>IF($B108="","",IFERROR(INDEX('계약'!$K$5:$K$204,MATCH($B108,'계약'!$B$5:$B$204,0)),""))</x:f>
      </x:c>
      <x:c r="K108" s="279" t="str">
        <x:f>IF($B108="","",IFERROR(INDEX('계약'!$L$5:$L$204,MATCH($B108,'계약'!$B$5:$B$204,0)),""))</x:f>
      </x:c>
      <x:c r="L108" s="279" t="str">
        <x:f>IF($B108="","",IFERROR(INDEX('수납'!$E$5:$E$204,MATCH($B108,'수납'!$B$5:$B$204,0)),0))</x:f>
      </x:c>
      <x:c r="M108" s="35" t="str">
        <x:f>IF($B108="","",IFERROR(INDEX('수납'!$D$5:$D$204,MATCH($B108,'수납'!$B$5:$B$204,0)),0))</x:f>
      </x:c>
      <x:c r="N108" s="35" t="str">
        <x:f>IF($B108="","",IFERROR(INDEX('계약'!$M$5:$M$204,MATCH($B108,'계약'!$B$5:$B$204,0)),""))</x:f>
      </x:c>
      <x:c r="O108" s="1"/>
      <x:c r="P108" s="1"/>
      <x:c r="Q108" s="1"/>
      <x:c r="R108" s="1"/>
      <x:c r="S108" s="1"/>
      <x:c r="T108" s="1"/>
      <x:c r="U108" s="1"/>
      <x:c r="V108" s="1"/>
      <x:c r="W108" s="1"/>
      <x:c r="X108" s="1"/>
      <x:c r="Y108" s="1"/>
      <x:c r="Z108" s="1"/>
      <x:c r="AA108" s="1"/>
      <x:c r="AB108" s="1"/>
      <x:c r="AC108" s="1"/>
      <x:c r="AD108" s="1"/>
      <x:c r="AE108" s="1"/>
    </x:row>
    <x:row r="109" ht="18" customHeight="1">
      <x:c r="A109" s="273" t="str">
        <x:f>IF(B109="","",105)</x:f>
      </x:c>
      <x:c r="B109" s="35" t="str">
        <x:f>IFERROR(INDEX('자산'!$B$5:$B$204,MATCH(105,'자산'!$Z$5:$Z$204,0)),"")</x:f>
      </x:c>
      <x:c r="C109" s="35" t="str">
        <x:f>IF($B109="","",IFERROR(INDEX('자산'!$C$5:$C$204,MATCH($B109,'자산'!$B$5:$B$204,0)),""))</x:f>
      </x:c>
      <x:c r="D109" s="273" t="str">
        <x:f>IF($B109="","",IFERROR(INDEX('자산'!$D$5:$D$204,MATCH($B109,'자산'!$B$5:$B$204,0)),""))</x:f>
      </x:c>
      <x:c r="E109" s="273" t="str">
        <x:f>IF(B109="","",IF(IF($B109="","",IFERROR(INDEX('계약'!$G$5:$G$204,MATCH($B109,'계약'!$B$5:$B$204,0)),""))&lt;&gt;"","대여중","쉬는차"))</x:f>
      </x:c>
      <x:c r="F109" s="35" t="str">
        <x:f>IF($B109="","",IFERROR(INDEX('계약'!$G$5:$G$204,MATCH($B109,'계약'!$B$5:$B$204,0)),""))</x:f>
      </x:c>
      <x:c r="G109" s="276" t="str">
        <x:f>IF($B109="","",IFERROR(INDEX('계약'!$H$5:$H$204,MATCH($B109,'계약'!$B$5:$B$204,0)),""))</x:f>
      </x:c>
      <x:c r="H109" s="276" t="str">
        <x:f>IF($B109="","",IFERROR(INDEX('계약'!$I$5:$I$204,MATCH($B109,'계약'!$B$5:$B$204,0)),""))</x:f>
      </x:c>
      <x:c r="I109" s="35" t="str">
        <x:f>IF(H109="","",IF(H109&lt;'요약'!$B$2,"만료",(YEAR(H109)-YEAR('요약'!$B$2))*12+MONTH(H109)-MONTH('요약'!$B$2)))</x:f>
      </x:c>
      <x:c r="J109" s="279" t="str">
        <x:f>IF($B109="","",IFERROR(INDEX('계약'!$K$5:$K$204,MATCH($B109,'계약'!$B$5:$B$204,0)),""))</x:f>
      </x:c>
      <x:c r="K109" s="279" t="str">
        <x:f>IF($B109="","",IFERROR(INDEX('계약'!$L$5:$L$204,MATCH($B109,'계약'!$B$5:$B$204,0)),""))</x:f>
      </x:c>
      <x:c r="L109" s="279" t="str">
        <x:f>IF($B109="","",IFERROR(INDEX('수납'!$E$5:$E$204,MATCH($B109,'수납'!$B$5:$B$204,0)),0))</x:f>
      </x:c>
      <x:c r="M109" s="35" t="str">
        <x:f>IF($B109="","",IFERROR(INDEX('수납'!$D$5:$D$204,MATCH($B109,'수납'!$B$5:$B$204,0)),0))</x:f>
      </x:c>
      <x:c r="N109" s="35" t="str">
        <x:f>IF($B109="","",IFERROR(INDEX('계약'!$M$5:$M$204,MATCH($B109,'계약'!$B$5:$B$204,0)),""))</x:f>
      </x:c>
      <x:c r="O109" s="1"/>
      <x:c r="P109" s="1"/>
      <x:c r="Q109" s="1"/>
      <x:c r="R109" s="1"/>
      <x:c r="S109" s="1"/>
      <x:c r="T109" s="1"/>
      <x:c r="U109" s="1"/>
      <x:c r="V109" s="1"/>
      <x:c r="W109" s="1"/>
      <x:c r="X109" s="1"/>
      <x:c r="Y109" s="1"/>
      <x:c r="Z109" s="1"/>
      <x:c r="AA109" s="1"/>
      <x:c r="AB109" s="1"/>
      <x:c r="AC109" s="1"/>
      <x:c r="AD109" s="1"/>
      <x:c r="AE109" s="1"/>
    </x:row>
    <x:row r="110" ht="18" customHeight="1">
      <x:c r="A110" s="273" t="str">
        <x:f>IF(B110="","",106)</x:f>
      </x:c>
      <x:c r="B110" s="35" t="str">
        <x:f>IFERROR(INDEX('자산'!$B$5:$B$204,MATCH(106,'자산'!$Z$5:$Z$204,0)),"")</x:f>
      </x:c>
      <x:c r="C110" s="35" t="str">
        <x:f>IF($B110="","",IFERROR(INDEX('자산'!$C$5:$C$204,MATCH($B110,'자산'!$B$5:$B$204,0)),""))</x:f>
      </x:c>
      <x:c r="D110" s="273" t="str">
        <x:f>IF($B110="","",IFERROR(INDEX('자산'!$D$5:$D$204,MATCH($B110,'자산'!$B$5:$B$204,0)),""))</x:f>
      </x:c>
      <x:c r="E110" s="273" t="str">
        <x:f>IF(B110="","",IF(IF($B110="","",IFERROR(INDEX('계약'!$G$5:$G$204,MATCH($B110,'계약'!$B$5:$B$204,0)),""))&lt;&gt;"","대여중","쉬는차"))</x:f>
      </x:c>
      <x:c r="F110" s="35" t="str">
        <x:f>IF($B110="","",IFERROR(INDEX('계약'!$G$5:$G$204,MATCH($B110,'계약'!$B$5:$B$204,0)),""))</x:f>
      </x:c>
      <x:c r="G110" s="276" t="str">
        <x:f>IF($B110="","",IFERROR(INDEX('계약'!$H$5:$H$204,MATCH($B110,'계약'!$B$5:$B$204,0)),""))</x:f>
      </x:c>
      <x:c r="H110" s="276" t="str">
        <x:f>IF($B110="","",IFERROR(INDEX('계약'!$I$5:$I$204,MATCH($B110,'계약'!$B$5:$B$204,0)),""))</x:f>
      </x:c>
      <x:c r="I110" s="35" t="str">
        <x:f>IF(H110="","",IF(H110&lt;'요약'!$B$2,"만료",(YEAR(H110)-YEAR('요약'!$B$2))*12+MONTH(H110)-MONTH('요약'!$B$2)))</x:f>
      </x:c>
      <x:c r="J110" s="279" t="str">
        <x:f>IF($B110="","",IFERROR(INDEX('계약'!$K$5:$K$204,MATCH($B110,'계약'!$B$5:$B$204,0)),""))</x:f>
      </x:c>
      <x:c r="K110" s="279" t="str">
        <x:f>IF($B110="","",IFERROR(INDEX('계약'!$L$5:$L$204,MATCH($B110,'계약'!$B$5:$B$204,0)),""))</x:f>
      </x:c>
      <x:c r="L110" s="279" t="str">
        <x:f>IF($B110="","",IFERROR(INDEX('수납'!$E$5:$E$204,MATCH($B110,'수납'!$B$5:$B$204,0)),0))</x:f>
      </x:c>
      <x:c r="M110" s="35" t="str">
        <x:f>IF($B110="","",IFERROR(INDEX('수납'!$D$5:$D$204,MATCH($B110,'수납'!$B$5:$B$204,0)),0))</x:f>
      </x:c>
      <x:c r="N110" s="35" t="str">
        <x:f>IF($B110="","",IFERROR(INDEX('계약'!$M$5:$M$204,MATCH($B110,'계약'!$B$5:$B$204,0)),""))</x:f>
      </x:c>
      <x:c r="O110" s="1"/>
      <x:c r="P110" s="1"/>
      <x:c r="Q110" s="1"/>
      <x:c r="R110" s="1"/>
      <x:c r="S110" s="1"/>
      <x:c r="T110" s="1"/>
      <x:c r="U110" s="1"/>
      <x:c r="V110" s="1"/>
      <x:c r="W110" s="1"/>
      <x:c r="X110" s="1"/>
      <x:c r="Y110" s="1"/>
      <x:c r="Z110" s="1"/>
      <x:c r="AA110" s="1"/>
      <x:c r="AB110" s="1"/>
      <x:c r="AC110" s="1"/>
      <x:c r="AD110" s="1"/>
      <x:c r="AE110" s="1"/>
    </x:row>
    <x:row r="111" ht="18" customHeight="1">
      <x:c r="A111" s="273" t="str">
        <x:f>IF(B111="","",107)</x:f>
      </x:c>
      <x:c r="B111" s="35" t="str">
        <x:f>IFERROR(INDEX('자산'!$B$5:$B$204,MATCH(107,'자산'!$Z$5:$Z$204,0)),"")</x:f>
      </x:c>
      <x:c r="C111" s="35" t="str">
        <x:f>IF($B111="","",IFERROR(INDEX('자산'!$C$5:$C$204,MATCH($B111,'자산'!$B$5:$B$204,0)),""))</x:f>
      </x:c>
      <x:c r="D111" s="273" t="str">
        <x:f>IF($B111="","",IFERROR(INDEX('자산'!$D$5:$D$204,MATCH($B111,'자산'!$B$5:$B$204,0)),""))</x:f>
      </x:c>
      <x:c r="E111" s="273" t="str">
        <x:f>IF(B111="","",IF(IF($B111="","",IFERROR(INDEX('계약'!$G$5:$G$204,MATCH($B111,'계약'!$B$5:$B$204,0)),""))&lt;&gt;"","대여중","쉬는차"))</x:f>
      </x:c>
      <x:c r="F111" s="35" t="str">
        <x:f>IF($B111="","",IFERROR(INDEX('계약'!$G$5:$G$204,MATCH($B111,'계약'!$B$5:$B$204,0)),""))</x:f>
      </x:c>
      <x:c r="G111" s="276" t="str">
        <x:f>IF($B111="","",IFERROR(INDEX('계약'!$H$5:$H$204,MATCH($B111,'계약'!$B$5:$B$204,0)),""))</x:f>
      </x:c>
      <x:c r="H111" s="276" t="str">
        <x:f>IF($B111="","",IFERROR(INDEX('계약'!$I$5:$I$204,MATCH($B111,'계약'!$B$5:$B$204,0)),""))</x:f>
      </x:c>
      <x:c r="I111" s="35" t="str">
        <x:f>IF(H111="","",IF(H111&lt;'요약'!$B$2,"만료",(YEAR(H111)-YEAR('요약'!$B$2))*12+MONTH(H111)-MONTH('요약'!$B$2)))</x:f>
      </x:c>
      <x:c r="J111" s="279" t="str">
        <x:f>IF($B111="","",IFERROR(INDEX('계약'!$K$5:$K$204,MATCH($B111,'계약'!$B$5:$B$204,0)),""))</x:f>
      </x:c>
      <x:c r="K111" s="279" t="str">
        <x:f>IF($B111="","",IFERROR(INDEX('계약'!$L$5:$L$204,MATCH($B111,'계약'!$B$5:$B$204,0)),""))</x:f>
      </x:c>
      <x:c r="L111" s="279" t="str">
        <x:f>IF($B111="","",IFERROR(INDEX('수납'!$E$5:$E$204,MATCH($B111,'수납'!$B$5:$B$204,0)),0))</x:f>
      </x:c>
      <x:c r="M111" s="35" t="str">
        <x:f>IF($B111="","",IFERROR(INDEX('수납'!$D$5:$D$204,MATCH($B111,'수납'!$B$5:$B$204,0)),0))</x:f>
      </x:c>
      <x:c r="N111" s="35" t="str">
        <x:f>IF($B111="","",IFERROR(INDEX('계약'!$M$5:$M$204,MATCH($B111,'계약'!$B$5:$B$204,0)),""))</x:f>
      </x:c>
      <x:c r="O111" s="1"/>
      <x:c r="P111" s="1"/>
      <x:c r="Q111" s="1"/>
      <x:c r="R111" s="1"/>
      <x:c r="S111" s="1"/>
      <x:c r="T111" s="1"/>
      <x:c r="U111" s="1"/>
      <x:c r="V111" s="1"/>
      <x:c r="W111" s="1"/>
      <x:c r="X111" s="1"/>
      <x:c r="Y111" s="1"/>
      <x:c r="Z111" s="1"/>
      <x:c r="AA111" s="1"/>
      <x:c r="AB111" s="1"/>
      <x:c r="AC111" s="1"/>
      <x:c r="AD111" s="1"/>
      <x:c r="AE111" s="1"/>
    </x:row>
    <x:row r="112" ht="18" customHeight="1">
      <x:c r="A112" s="273" t="str">
        <x:f>IF(B112="","",108)</x:f>
      </x:c>
      <x:c r="B112" s="35" t="str">
        <x:f>IFERROR(INDEX('자산'!$B$5:$B$204,MATCH(108,'자산'!$Z$5:$Z$204,0)),"")</x:f>
      </x:c>
      <x:c r="C112" s="35" t="str">
        <x:f>IF($B112="","",IFERROR(INDEX('자산'!$C$5:$C$204,MATCH($B112,'자산'!$B$5:$B$204,0)),""))</x:f>
      </x:c>
      <x:c r="D112" s="273" t="str">
        <x:f>IF($B112="","",IFERROR(INDEX('자산'!$D$5:$D$204,MATCH($B112,'자산'!$B$5:$B$204,0)),""))</x:f>
      </x:c>
      <x:c r="E112" s="273" t="str">
        <x:f>IF(B112="","",IF(IF($B112="","",IFERROR(INDEX('계약'!$G$5:$G$204,MATCH($B112,'계약'!$B$5:$B$204,0)),""))&lt;&gt;"","대여중","쉬는차"))</x:f>
      </x:c>
      <x:c r="F112" s="35" t="str">
        <x:f>IF($B112="","",IFERROR(INDEX('계약'!$G$5:$G$204,MATCH($B112,'계약'!$B$5:$B$204,0)),""))</x:f>
      </x:c>
      <x:c r="G112" s="276" t="str">
        <x:f>IF($B112="","",IFERROR(INDEX('계약'!$H$5:$H$204,MATCH($B112,'계약'!$B$5:$B$204,0)),""))</x:f>
      </x:c>
      <x:c r="H112" s="276" t="str">
        <x:f>IF($B112="","",IFERROR(INDEX('계약'!$I$5:$I$204,MATCH($B112,'계약'!$B$5:$B$204,0)),""))</x:f>
      </x:c>
      <x:c r="I112" s="35" t="str">
        <x:f>IF(H112="","",IF(H112&lt;'요약'!$B$2,"만료",(YEAR(H112)-YEAR('요약'!$B$2))*12+MONTH(H112)-MONTH('요약'!$B$2)))</x:f>
      </x:c>
      <x:c r="J112" s="279" t="str">
        <x:f>IF($B112="","",IFERROR(INDEX('계약'!$K$5:$K$204,MATCH($B112,'계약'!$B$5:$B$204,0)),""))</x:f>
      </x:c>
      <x:c r="K112" s="279" t="str">
        <x:f>IF($B112="","",IFERROR(INDEX('계약'!$L$5:$L$204,MATCH($B112,'계약'!$B$5:$B$204,0)),""))</x:f>
      </x:c>
      <x:c r="L112" s="279" t="str">
        <x:f>IF($B112="","",IFERROR(INDEX('수납'!$E$5:$E$204,MATCH($B112,'수납'!$B$5:$B$204,0)),0))</x:f>
      </x:c>
      <x:c r="M112" s="35" t="str">
        <x:f>IF($B112="","",IFERROR(INDEX('수납'!$D$5:$D$204,MATCH($B112,'수납'!$B$5:$B$204,0)),0))</x:f>
      </x:c>
      <x:c r="N112" s="35" t="str">
        <x:f>IF($B112="","",IFERROR(INDEX('계약'!$M$5:$M$204,MATCH($B112,'계약'!$B$5:$B$204,0)),""))</x:f>
      </x:c>
      <x:c r="O112" s="1"/>
      <x:c r="P112" s="1"/>
      <x:c r="Q112" s="1"/>
      <x:c r="R112" s="1"/>
      <x:c r="S112" s="1"/>
      <x:c r="T112" s="1"/>
      <x:c r="U112" s="1"/>
      <x:c r="V112" s="1"/>
      <x:c r="W112" s="1"/>
      <x:c r="X112" s="1"/>
      <x:c r="Y112" s="1"/>
      <x:c r="Z112" s="1"/>
      <x:c r="AA112" s="1"/>
      <x:c r="AB112" s="1"/>
      <x:c r="AC112" s="1"/>
      <x:c r="AD112" s="1"/>
      <x:c r="AE112" s="1"/>
    </x:row>
    <x:row r="113" ht="18" customHeight="1">
      <x:c r="A113" s="273" t="str">
        <x:f>IF(B113="","",109)</x:f>
      </x:c>
      <x:c r="B113" s="35" t="str">
        <x:f>IFERROR(INDEX('자산'!$B$5:$B$204,MATCH(109,'자산'!$Z$5:$Z$204,0)),"")</x:f>
      </x:c>
      <x:c r="C113" s="35" t="str">
        <x:f>IF($B113="","",IFERROR(INDEX('자산'!$C$5:$C$204,MATCH($B113,'자산'!$B$5:$B$204,0)),""))</x:f>
      </x:c>
      <x:c r="D113" s="273" t="str">
        <x:f>IF($B113="","",IFERROR(INDEX('자산'!$D$5:$D$204,MATCH($B113,'자산'!$B$5:$B$204,0)),""))</x:f>
      </x:c>
      <x:c r="E113" s="273" t="str">
        <x:f>IF(B113="","",IF(IF($B113="","",IFERROR(INDEX('계약'!$G$5:$G$204,MATCH($B113,'계약'!$B$5:$B$204,0)),""))&lt;&gt;"","대여중","쉬는차"))</x:f>
      </x:c>
      <x:c r="F113" s="35" t="str">
        <x:f>IF($B113="","",IFERROR(INDEX('계약'!$G$5:$G$204,MATCH($B113,'계약'!$B$5:$B$204,0)),""))</x:f>
      </x:c>
      <x:c r="G113" s="276" t="str">
        <x:f>IF($B113="","",IFERROR(INDEX('계약'!$H$5:$H$204,MATCH($B113,'계약'!$B$5:$B$204,0)),""))</x:f>
      </x:c>
      <x:c r="H113" s="276" t="str">
        <x:f>IF($B113="","",IFERROR(INDEX('계약'!$I$5:$I$204,MATCH($B113,'계약'!$B$5:$B$204,0)),""))</x:f>
      </x:c>
      <x:c r="I113" s="35" t="str">
        <x:f>IF(H113="","",IF(H113&lt;'요약'!$B$2,"만료",(YEAR(H113)-YEAR('요약'!$B$2))*12+MONTH(H113)-MONTH('요약'!$B$2)))</x:f>
      </x:c>
      <x:c r="J113" s="279" t="str">
        <x:f>IF($B113="","",IFERROR(INDEX('계약'!$K$5:$K$204,MATCH($B113,'계약'!$B$5:$B$204,0)),""))</x:f>
      </x:c>
      <x:c r="K113" s="279" t="str">
        <x:f>IF($B113="","",IFERROR(INDEX('계약'!$L$5:$L$204,MATCH($B113,'계약'!$B$5:$B$204,0)),""))</x:f>
      </x:c>
      <x:c r="L113" s="279" t="str">
        <x:f>IF($B113="","",IFERROR(INDEX('수납'!$E$5:$E$204,MATCH($B113,'수납'!$B$5:$B$204,0)),0))</x:f>
      </x:c>
      <x:c r="M113" s="35" t="str">
        <x:f>IF($B113="","",IFERROR(INDEX('수납'!$D$5:$D$204,MATCH($B113,'수납'!$B$5:$B$204,0)),0))</x:f>
      </x:c>
      <x:c r="N113" s="35" t="str">
        <x:f>IF($B113="","",IFERROR(INDEX('계약'!$M$5:$M$204,MATCH($B113,'계약'!$B$5:$B$204,0)),""))</x:f>
      </x:c>
      <x:c r="O113" s="1"/>
      <x:c r="P113" s="1"/>
      <x:c r="Q113" s="1"/>
      <x:c r="R113" s="1"/>
      <x:c r="S113" s="1"/>
      <x:c r="T113" s="1"/>
      <x:c r="U113" s="1"/>
      <x:c r="V113" s="1"/>
      <x:c r="W113" s="1"/>
      <x:c r="X113" s="1"/>
      <x:c r="Y113" s="1"/>
      <x:c r="Z113" s="1"/>
      <x:c r="AA113" s="1"/>
      <x:c r="AB113" s="1"/>
      <x:c r="AC113" s="1"/>
      <x:c r="AD113" s="1"/>
      <x:c r="AE113" s="1"/>
    </x:row>
    <x:row r="114" ht="18" customHeight="1">
      <x:c r="A114" s="273" t="str">
        <x:f>IF(B114="","",110)</x:f>
      </x:c>
      <x:c r="B114" s="35" t="str">
        <x:f>IFERROR(INDEX('자산'!$B$5:$B$204,MATCH(110,'자산'!$Z$5:$Z$204,0)),"")</x:f>
      </x:c>
      <x:c r="C114" s="35" t="str">
        <x:f>IF($B114="","",IFERROR(INDEX('자산'!$C$5:$C$204,MATCH($B114,'자산'!$B$5:$B$204,0)),""))</x:f>
      </x:c>
      <x:c r="D114" s="273" t="str">
        <x:f>IF($B114="","",IFERROR(INDEX('자산'!$D$5:$D$204,MATCH($B114,'자산'!$B$5:$B$204,0)),""))</x:f>
      </x:c>
      <x:c r="E114" s="273" t="str">
        <x:f>IF(B114="","",IF(IF($B114="","",IFERROR(INDEX('계약'!$G$5:$G$204,MATCH($B114,'계약'!$B$5:$B$204,0)),""))&lt;&gt;"","대여중","쉬는차"))</x:f>
      </x:c>
      <x:c r="F114" s="35" t="str">
        <x:f>IF($B114="","",IFERROR(INDEX('계약'!$G$5:$G$204,MATCH($B114,'계약'!$B$5:$B$204,0)),""))</x:f>
      </x:c>
      <x:c r="G114" s="276" t="str">
        <x:f>IF($B114="","",IFERROR(INDEX('계약'!$H$5:$H$204,MATCH($B114,'계약'!$B$5:$B$204,0)),""))</x:f>
      </x:c>
      <x:c r="H114" s="276" t="str">
        <x:f>IF($B114="","",IFERROR(INDEX('계약'!$I$5:$I$204,MATCH($B114,'계약'!$B$5:$B$204,0)),""))</x:f>
      </x:c>
      <x:c r="I114" s="35" t="str">
        <x:f>IF(H114="","",IF(H114&lt;'요약'!$B$2,"만료",(YEAR(H114)-YEAR('요약'!$B$2))*12+MONTH(H114)-MONTH('요약'!$B$2)))</x:f>
      </x:c>
      <x:c r="J114" s="279" t="str">
        <x:f>IF($B114="","",IFERROR(INDEX('계약'!$K$5:$K$204,MATCH($B114,'계약'!$B$5:$B$204,0)),""))</x:f>
      </x:c>
      <x:c r="K114" s="279" t="str">
        <x:f>IF($B114="","",IFERROR(INDEX('계약'!$L$5:$L$204,MATCH($B114,'계약'!$B$5:$B$204,0)),""))</x:f>
      </x:c>
      <x:c r="L114" s="279" t="str">
        <x:f>IF($B114="","",IFERROR(INDEX('수납'!$E$5:$E$204,MATCH($B114,'수납'!$B$5:$B$204,0)),0))</x:f>
      </x:c>
      <x:c r="M114" s="35" t="str">
        <x:f>IF($B114="","",IFERROR(INDEX('수납'!$D$5:$D$204,MATCH($B114,'수납'!$B$5:$B$204,0)),0))</x:f>
      </x:c>
      <x:c r="N114" s="35" t="str">
        <x:f>IF($B114="","",IFERROR(INDEX('계약'!$M$5:$M$204,MATCH($B114,'계약'!$B$5:$B$204,0)),""))</x:f>
      </x:c>
      <x:c r="O114" s="1"/>
      <x:c r="P114" s="1"/>
      <x:c r="Q114" s="1"/>
      <x:c r="R114" s="1"/>
      <x:c r="S114" s="1"/>
      <x:c r="T114" s="1"/>
      <x:c r="U114" s="1"/>
      <x:c r="V114" s="1"/>
      <x:c r="W114" s="1"/>
      <x:c r="X114" s="1"/>
      <x:c r="Y114" s="1"/>
      <x:c r="Z114" s="1"/>
      <x:c r="AA114" s="1"/>
      <x:c r="AB114" s="1"/>
      <x:c r="AC114" s="1"/>
      <x:c r="AD114" s="1"/>
      <x:c r="AE114" s="1"/>
    </x:row>
    <x:row r="115" ht="18" customHeight="1">
      <x:c r="A115" s="273" t="str">
        <x:f>IF(B115="","",111)</x:f>
      </x:c>
      <x:c r="B115" s="35" t="str">
        <x:f>IFERROR(INDEX('자산'!$B$5:$B$204,MATCH(111,'자산'!$Z$5:$Z$204,0)),"")</x:f>
      </x:c>
      <x:c r="C115" s="35" t="str">
        <x:f>IF($B115="","",IFERROR(INDEX('자산'!$C$5:$C$204,MATCH($B115,'자산'!$B$5:$B$204,0)),""))</x:f>
      </x:c>
      <x:c r="D115" s="273" t="str">
        <x:f>IF($B115="","",IFERROR(INDEX('자산'!$D$5:$D$204,MATCH($B115,'자산'!$B$5:$B$204,0)),""))</x:f>
      </x:c>
      <x:c r="E115" s="273" t="str">
        <x:f>IF(B115="","",IF(IF($B115="","",IFERROR(INDEX('계약'!$G$5:$G$204,MATCH($B115,'계약'!$B$5:$B$204,0)),""))&lt;&gt;"","대여중","쉬는차"))</x:f>
      </x:c>
      <x:c r="F115" s="35" t="str">
        <x:f>IF($B115="","",IFERROR(INDEX('계약'!$G$5:$G$204,MATCH($B115,'계약'!$B$5:$B$204,0)),""))</x:f>
      </x:c>
      <x:c r="G115" s="276" t="str">
        <x:f>IF($B115="","",IFERROR(INDEX('계약'!$H$5:$H$204,MATCH($B115,'계약'!$B$5:$B$204,0)),""))</x:f>
      </x:c>
      <x:c r="H115" s="276" t="str">
        <x:f>IF($B115="","",IFERROR(INDEX('계약'!$I$5:$I$204,MATCH($B115,'계약'!$B$5:$B$204,0)),""))</x:f>
      </x:c>
      <x:c r="I115" s="35" t="str">
        <x:f>IF(H115="","",IF(H115&lt;'요약'!$B$2,"만료",(YEAR(H115)-YEAR('요약'!$B$2))*12+MONTH(H115)-MONTH('요약'!$B$2)))</x:f>
      </x:c>
      <x:c r="J115" s="279" t="str">
        <x:f>IF($B115="","",IFERROR(INDEX('계약'!$K$5:$K$204,MATCH($B115,'계약'!$B$5:$B$204,0)),""))</x:f>
      </x:c>
      <x:c r="K115" s="279" t="str">
        <x:f>IF($B115="","",IFERROR(INDEX('계약'!$L$5:$L$204,MATCH($B115,'계약'!$B$5:$B$204,0)),""))</x:f>
      </x:c>
      <x:c r="L115" s="279" t="str">
        <x:f>IF($B115="","",IFERROR(INDEX('수납'!$E$5:$E$204,MATCH($B115,'수납'!$B$5:$B$204,0)),0))</x:f>
      </x:c>
      <x:c r="M115" s="35" t="str">
        <x:f>IF($B115="","",IFERROR(INDEX('수납'!$D$5:$D$204,MATCH($B115,'수납'!$B$5:$B$204,0)),0))</x:f>
      </x:c>
      <x:c r="N115" s="35" t="str">
        <x:f>IF($B115="","",IFERROR(INDEX('계약'!$M$5:$M$204,MATCH($B115,'계약'!$B$5:$B$204,0)),""))</x:f>
      </x:c>
      <x:c r="O115" s="1"/>
      <x:c r="P115" s="1"/>
      <x:c r="Q115" s="1"/>
      <x:c r="R115" s="1"/>
      <x:c r="S115" s="1"/>
      <x:c r="T115" s="1"/>
      <x:c r="U115" s="1"/>
      <x:c r="V115" s="1"/>
      <x:c r="W115" s="1"/>
      <x:c r="X115" s="1"/>
      <x:c r="Y115" s="1"/>
      <x:c r="Z115" s="1"/>
      <x:c r="AA115" s="1"/>
      <x:c r="AB115" s="1"/>
      <x:c r="AC115" s="1"/>
      <x:c r="AD115" s="1"/>
      <x:c r="AE115" s="1"/>
    </x:row>
    <x:row r="116" ht="18" customHeight="1">
      <x:c r="A116" s="273" t="str">
        <x:f>IF(B116="","",112)</x:f>
      </x:c>
      <x:c r="B116" s="35" t="str">
        <x:f>IFERROR(INDEX('자산'!$B$5:$B$204,MATCH(112,'자산'!$Z$5:$Z$204,0)),"")</x:f>
      </x:c>
      <x:c r="C116" s="35" t="str">
        <x:f>IF($B116="","",IFERROR(INDEX('자산'!$C$5:$C$204,MATCH($B116,'자산'!$B$5:$B$204,0)),""))</x:f>
      </x:c>
      <x:c r="D116" s="273" t="str">
        <x:f>IF($B116="","",IFERROR(INDEX('자산'!$D$5:$D$204,MATCH($B116,'자산'!$B$5:$B$204,0)),""))</x:f>
      </x:c>
      <x:c r="E116" s="273" t="str">
        <x:f>IF(B116="","",IF(IF($B116="","",IFERROR(INDEX('계약'!$G$5:$G$204,MATCH($B116,'계약'!$B$5:$B$204,0)),""))&lt;&gt;"","대여중","쉬는차"))</x:f>
      </x:c>
      <x:c r="F116" s="35" t="str">
        <x:f>IF($B116="","",IFERROR(INDEX('계약'!$G$5:$G$204,MATCH($B116,'계약'!$B$5:$B$204,0)),""))</x:f>
      </x:c>
      <x:c r="G116" s="276" t="str">
        <x:f>IF($B116="","",IFERROR(INDEX('계약'!$H$5:$H$204,MATCH($B116,'계약'!$B$5:$B$204,0)),""))</x:f>
      </x:c>
      <x:c r="H116" s="276" t="str">
        <x:f>IF($B116="","",IFERROR(INDEX('계약'!$I$5:$I$204,MATCH($B116,'계약'!$B$5:$B$204,0)),""))</x:f>
      </x:c>
      <x:c r="I116" s="35" t="str">
        <x:f>IF(H116="","",IF(H116&lt;'요약'!$B$2,"만료",(YEAR(H116)-YEAR('요약'!$B$2))*12+MONTH(H116)-MONTH('요약'!$B$2)))</x:f>
      </x:c>
      <x:c r="J116" s="279" t="str">
        <x:f>IF($B116="","",IFERROR(INDEX('계약'!$K$5:$K$204,MATCH($B116,'계약'!$B$5:$B$204,0)),""))</x:f>
      </x:c>
      <x:c r="K116" s="279" t="str">
        <x:f>IF($B116="","",IFERROR(INDEX('계약'!$L$5:$L$204,MATCH($B116,'계약'!$B$5:$B$204,0)),""))</x:f>
      </x:c>
      <x:c r="L116" s="279" t="str">
        <x:f>IF($B116="","",IFERROR(INDEX('수납'!$E$5:$E$204,MATCH($B116,'수납'!$B$5:$B$204,0)),0))</x:f>
      </x:c>
      <x:c r="M116" s="35" t="str">
        <x:f>IF($B116="","",IFERROR(INDEX('수납'!$D$5:$D$204,MATCH($B116,'수납'!$B$5:$B$204,0)),0))</x:f>
      </x:c>
      <x:c r="N116" s="35" t="str">
        <x:f>IF($B116="","",IFERROR(INDEX('계약'!$M$5:$M$204,MATCH($B116,'계약'!$B$5:$B$204,0)),""))</x:f>
      </x:c>
      <x:c r="O116" s="1"/>
      <x:c r="P116" s="1"/>
      <x:c r="Q116" s="1"/>
      <x:c r="R116" s="1"/>
      <x:c r="S116" s="1"/>
      <x:c r="T116" s="1"/>
      <x:c r="U116" s="1"/>
      <x:c r="V116" s="1"/>
      <x:c r="W116" s="1"/>
      <x:c r="X116" s="1"/>
      <x:c r="Y116" s="1"/>
      <x:c r="Z116" s="1"/>
      <x:c r="AA116" s="1"/>
      <x:c r="AB116" s="1"/>
      <x:c r="AC116" s="1"/>
      <x:c r="AD116" s="1"/>
      <x:c r="AE116" s="1"/>
    </x:row>
    <x:row r="117" ht="18" customHeight="1">
      <x:c r="A117" s="273" t="str">
        <x:f>IF(B117="","",113)</x:f>
      </x:c>
      <x:c r="B117" s="35" t="str">
        <x:f>IFERROR(INDEX('자산'!$B$5:$B$204,MATCH(113,'자산'!$Z$5:$Z$204,0)),"")</x:f>
      </x:c>
      <x:c r="C117" s="35" t="str">
        <x:f>IF($B117="","",IFERROR(INDEX('자산'!$C$5:$C$204,MATCH($B117,'자산'!$B$5:$B$204,0)),""))</x:f>
      </x:c>
      <x:c r="D117" s="273" t="str">
        <x:f>IF($B117="","",IFERROR(INDEX('자산'!$D$5:$D$204,MATCH($B117,'자산'!$B$5:$B$204,0)),""))</x:f>
      </x:c>
      <x:c r="E117" s="273" t="str">
        <x:f>IF(B117="","",IF(IF($B117="","",IFERROR(INDEX('계약'!$G$5:$G$204,MATCH($B117,'계약'!$B$5:$B$204,0)),""))&lt;&gt;"","대여중","쉬는차"))</x:f>
      </x:c>
      <x:c r="F117" s="35" t="str">
        <x:f>IF($B117="","",IFERROR(INDEX('계약'!$G$5:$G$204,MATCH($B117,'계약'!$B$5:$B$204,0)),""))</x:f>
      </x:c>
      <x:c r="G117" s="276" t="str">
        <x:f>IF($B117="","",IFERROR(INDEX('계약'!$H$5:$H$204,MATCH($B117,'계약'!$B$5:$B$204,0)),""))</x:f>
      </x:c>
      <x:c r="H117" s="276" t="str">
        <x:f>IF($B117="","",IFERROR(INDEX('계약'!$I$5:$I$204,MATCH($B117,'계약'!$B$5:$B$204,0)),""))</x:f>
      </x:c>
      <x:c r="I117" s="35" t="str">
        <x:f>IF(H117="","",IF(H117&lt;'요약'!$B$2,"만료",(YEAR(H117)-YEAR('요약'!$B$2))*12+MONTH(H117)-MONTH('요약'!$B$2)))</x:f>
      </x:c>
      <x:c r="J117" s="279" t="str">
        <x:f>IF($B117="","",IFERROR(INDEX('계약'!$K$5:$K$204,MATCH($B117,'계약'!$B$5:$B$204,0)),""))</x:f>
      </x:c>
      <x:c r="K117" s="279" t="str">
        <x:f>IF($B117="","",IFERROR(INDEX('계약'!$L$5:$L$204,MATCH($B117,'계약'!$B$5:$B$204,0)),""))</x:f>
      </x:c>
      <x:c r="L117" s="279" t="str">
        <x:f>IF($B117="","",IFERROR(INDEX('수납'!$E$5:$E$204,MATCH($B117,'수납'!$B$5:$B$204,0)),0))</x:f>
      </x:c>
      <x:c r="M117" s="35" t="str">
        <x:f>IF($B117="","",IFERROR(INDEX('수납'!$D$5:$D$204,MATCH($B117,'수납'!$B$5:$B$204,0)),0))</x:f>
      </x:c>
      <x:c r="N117" s="35" t="str">
        <x:f>IF($B117="","",IFERROR(INDEX('계약'!$M$5:$M$204,MATCH($B117,'계약'!$B$5:$B$204,0)),""))</x:f>
      </x:c>
      <x:c r="O117" s="1"/>
      <x:c r="P117" s="1"/>
      <x:c r="Q117" s="1"/>
      <x:c r="R117" s="1"/>
      <x:c r="S117" s="1"/>
      <x:c r="T117" s="1"/>
      <x:c r="U117" s="1"/>
      <x:c r="V117" s="1"/>
      <x:c r="W117" s="1"/>
      <x:c r="X117" s="1"/>
      <x:c r="Y117" s="1"/>
      <x:c r="Z117" s="1"/>
      <x:c r="AA117" s="1"/>
      <x:c r="AB117" s="1"/>
      <x:c r="AC117" s="1"/>
      <x:c r="AD117" s="1"/>
      <x:c r="AE117" s="1"/>
    </x:row>
    <x:row r="118" ht="18" customHeight="1">
      <x:c r="A118" s="273" t="str">
        <x:f>IF(B118="","",114)</x:f>
      </x:c>
      <x:c r="B118" s="35" t="str">
        <x:f>IFERROR(INDEX('자산'!$B$5:$B$204,MATCH(114,'자산'!$Z$5:$Z$204,0)),"")</x:f>
      </x:c>
      <x:c r="C118" s="35" t="str">
        <x:f>IF($B118="","",IFERROR(INDEX('자산'!$C$5:$C$204,MATCH($B118,'자산'!$B$5:$B$204,0)),""))</x:f>
      </x:c>
      <x:c r="D118" s="273" t="str">
        <x:f>IF($B118="","",IFERROR(INDEX('자산'!$D$5:$D$204,MATCH($B118,'자산'!$B$5:$B$204,0)),""))</x:f>
      </x:c>
      <x:c r="E118" s="273" t="str">
        <x:f>IF(B118="","",IF(IF($B118="","",IFERROR(INDEX('계약'!$G$5:$G$204,MATCH($B118,'계약'!$B$5:$B$204,0)),""))&lt;&gt;"","대여중","쉬는차"))</x:f>
      </x:c>
      <x:c r="F118" s="35" t="str">
        <x:f>IF($B118="","",IFERROR(INDEX('계약'!$G$5:$G$204,MATCH($B118,'계약'!$B$5:$B$204,0)),""))</x:f>
      </x:c>
      <x:c r="G118" s="276" t="str">
        <x:f>IF($B118="","",IFERROR(INDEX('계약'!$H$5:$H$204,MATCH($B118,'계약'!$B$5:$B$204,0)),""))</x:f>
      </x:c>
      <x:c r="H118" s="276" t="str">
        <x:f>IF($B118="","",IFERROR(INDEX('계약'!$I$5:$I$204,MATCH($B118,'계약'!$B$5:$B$204,0)),""))</x:f>
      </x:c>
      <x:c r="I118" s="35" t="str">
        <x:f>IF(H118="","",IF(H118&lt;'요약'!$B$2,"만료",(YEAR(H118)-YEAR('요약'!$B$2))*12+MONTH(H118)-MONTH('요약'!$B$2)))</x:f>
      </x:c>
      <x:c r="J118" s="279" t="str">
        <x:f>IF($B118="","",IFERROR(INDEX('계약'!$K$5:$K$204,MATCH($B118,'계약'!$B$5:$B$204,0)),""))</x:f>
      </x:c>
      <x:c r="K118" s="279" t="str">
        <x:f>IF($B118="","",IFERROR(INDEX('계약'!$L$5:$L$204,MATCH($B118,'계약'!$B$5:$B$204,0)),""))</x:f>
      </x:c>
      <x:c r="L118" s="279" t="str">
        <x:f>IF($B118="","",IFERROR(INDEX('수납'!$E$5:$E$204,MATCH($B118,'수납'!$B$5:$B$204,0)),0))</x:f>
      </x:c>
      <x:c r="M118" s="35" t="str">
        <x:f>IF($B118="","",IFERROR(INDEX('수납'!$D$5:$D$204,MATCH($B118,'수납'!$B$5:$B$204,0)),0))</x:f>
      </x:c>
      <x:c r="N118" s="35" t="str">
        <x:f>IF($B118="","",IFERROR(INDEX('계약'!$M$5:$M$204,MATCH($B118,'계약'!$B$5:$B$204,0)),""))</x:f>
      </x:c>
      <x:c r="O118" s="1"/>
      <x:c r="P118" s="1"/>
      <x:c r="Q118" s="1"/>
      <x:c r="R118" s="1"/>
      <x:c r="S118" s="1"/>
      <x:c r="T118" s="1"/>
      <x:c r="U118" s="1"/>
      <x:c r="V118" s="1"/>
      <x:c r="W118" s="1"/>
      <x:c r="X118" s="1"/>
      <x:c r="Y118" s="1"/>
      <x:c r="Z118" s="1"/>
      <x:c r="AA118" s="1"/>
      <x:c r="AB118" s="1"/>
      <x:c r="AC118" s="1"/>
      <x:c r="AD118" s="1"/>
      <x:c r="AE118" s="1"/>
    </x:row>
    <x:row r="119" ht="18" customHeight="1">
      <x:c r="A119" s="273" t="str">
        <x:f>IF(B119="","",115)</x:f>
      </x:c>
      <x:c r="B119" s="35" t="str">
        <x:f>IFERROR(INDEX('자산'!$B$5:$B$204,MATCH(115,'자산'!$Z$5:$Z$204,0)),"")</x:f>
      </x:c>
      <x:c r="C119" s="35" t="str">
        <x:f>IF($B119="","",IFERROR(INDEX('자산'!$C$5:$C$204,MATCH($B119,'자산'!$B$5:$B$204,0)),""))</x:f>
      </x:c>
      <x:c r="D119" s="273" t="str">
        <x:f>IF($B119="","",IFERROR(INDEX('자산'!$D$5:$D$204,MATCH($B119,'자산'!$B$5:$B$204,0)),""))</x:f>
      </x:c>
      <x:c r="E119" s="273" t="str">
        <x:f>IF(B119="","",IF(IF($B119="","",IFERROR(INDEX('계약'!$G$5:$G$204,MATCH($B119,'계약'!$B$5:$B$204,0)),""))&lt;&gt;"","대여중","쉬는차"))</x:f>
      </x:c>
      <x:c r="F119" s="35" t="str">
        <x:f>IF($B119="","",IFERROR(INDEX('계약'!$G$5:$G$204,MATCH($B119,'계약'!$B$5:$B$204,0)),""))</x:f>
      </x:c>
      <x:c r="G119" s="276" t="str">
        <x:f>IF($B119="","",IFERROR(INDEX('계약'!$H$5:$H$204,MATCH($B119,'계약'!$B$5:$B$204,0)),""))</x:f>
      </x:c>
      <x:c r="H119" s="276" t="str">
        <x:f>IF($B119="","",IFERROR(INDEX('계약'!$I$5:$I$204,MATCH($B119,'계약'!$B$5:$B$204,0)),""))</x:f>
      </x:c>
      <x:c r="I119" s="35" t="str">
        <x:f>IF(H119="","",IF(H119&lt;'요약'!$B$2,"만료",(YEAR(H119)-YEAR('요약'!$B$2))*12+MONTH(H119)-MONTH('요약'!$B$2)))</x:f>
      </x:c>
      <x:c r="J119" s="279" t="str">
        <x:f>IF($B119="","",IFERROR(INDEX('계약'!$K$5:$K$204,MATCH($B119,'계약'!$B$5:$B$204,0)),""))</x:f>
      </x:c>
      <x:c r="K119" s="279" t="str">
        <x:f>IF($B119="","",IFERROR(INDEX('계약'!$L$5:$L$204,MATCH($B119,'계약'!$B$5:$B$204,0)),""))</x:f>
      </x:c>
      <x:c r="L119" s="279" t="str">
        <x:f>IF($B119="","",IFERROR(INDEX('수납'!$E$5:$E$204,MATCH($B119,'수납'!$B$5:$B$204,0)),0))</x:f>
      </x:c>
      <x:c r="M119" s="35" t="str">
        <x:f>IF($B119="","",IFERROR(INDEX('수납'!$D$5:$D$204,MATCH($B119,'수납'!$B$5:$B$204,0)),0))</x:f>
      </x:c>
      <x:c r="N119" s="35" t="str">
        <x:f>IF($B119="","",IFERROR(INDEX('계약'!$M$5:$M$204,MATCH($B119,'계약'!$B$5:$B$204,0)),""))</x:f>
      </x:c>
      <x:c r="O119" s="1"/>
      <x:c r="P119" s="1"/>
      <x:c r="Q119" s="1"/>
      <x:c r="R119" s="1"/>
      <x:c r="S119" s="1"/>
      <x:c r="T119" s="1"/>
      <x:c r="U119" s="1"/>
      <x:c r="V119" s="1"/>
      <x:c r="W119" s="1"/>
      <x:c r="X119" s="1"/>
      <x:c r="Y119" s="1"/>
      <x:c r="Z119" s="1"/>
      <x:c r="AA119" s="1"/>
      <x:c r="AB119" s="1"/>
      <x:c r="AC119" s="1"/>
      <x:c r="AD119" s="1"/>
      <x:c r="AE119" s="1"/>
    </x:row>
    <x:row r="120" ht="18" customHeight="1">
      <x:c r="A120" s="273" t="str">
        <x:f>IF(B120="","",116)</x:f>
      </x:c>
      <x:c r="B120" s="35" t="str">
        <x:f>IFERROR(INDEX('자산'!$B$5:$B$204,MATCH(116,'자산'!$Z$5:$Z$204,0)),"")</x:f>
      </x:c>
      <x:c r="C120" s="35" t="str">
        <x:f>IF($B120="","",IFERROR(INDEX('자산'!$C$5:$C$204,MATCH($B120,'자산'!$B$5:$B$204,0)),""))</x:f>
      </x:c>
      <x:c r="D120" s="273" t="str">
        <x:f>IF($B120="","",IFERROR(INDEX('자산'!$D$5:$D$204,MATCH($B120,'자산'!$B$5:$B$204,0)),""))</x:f>
      </x:c>
      <x:c r="E120" s="273" t="str">
        <x:f>IF(B120="","",IF(IF($B120="","",IFERROR(INDEX('계약'!$G$5:$G$204,MATCH($B120,'계약'!$B$5:$B$204,0)),""))&lt;&gt;"","대여중","쉬는차"))</x:f>
      </x:c>
      <x:c r="F120" s="35" t="str">
        <x:f>IF($B120="","",IFERROR(INDEX('계약'!$G$5:$G$204,MATCH($B120,'계약'!$B$5:$B$204,0)),""))</x:f>
      </x:c>
      <x:c r="G120" s="276" t="str">
        <x:f>IF($B120="","",IFERROR(INDEX('계약'!$H$5:$H$204,MATCH($B120,'계약'!$B$5:$B$204,0)),""))</x:f>
      </x:c>
      <x:c r="H120" s="276" t="str">
        <x:f>IF($B120="","",IFERROR(INDEX('계약'!$I$5:$I$204,MATCH($B120,'계약'!$B$5:$B$204,0)),""))</x:f>
      </x:c>
      <x:c r="I120" s="35" t="str">
        <x:f>IF(H120="","",IF(H120&lt;'요약'!$B$2,"만료",(YEAR(H120)-YEAR('요약'!$B$2))*12+MONTH(H120)-MONTH('요약'!$B$2)))</x:f>
      </x:c>
      <x:c r="J120" s="279" t="str">
        <x:f>IF($B120="","",IFERROR(INDEX('계약'!$K$5:$K$204,MATCH($B120,'계약'!$B$5:$B$204,0)),""))</x:f>
      </x:c>
      <x:c r="K120" s="279" t="str">
        <x:f>IF($B120="","",IFERROR(INDEX('계약'!$L$5:$L$204,MATCH($B120,'계약'!$B$5:$B$204,0)),""))</x:f>
      </x:c>
      <x:c r="L120" s="279" t="str">
        <x:f>IF($B120="","",IFERROR(INDEX('수납'!$E$5:$E$204,MATCH($B120,'수납'!$B$5:$B$204,0)),0))</x:f>
      </x:c>
      <x:c r="M120" s="35" t="str">
        <x:f>IF($B120="","",IFERROR(INDEX('수납'!$D$5:$D$204,MATCH($B120,'수납'!$B$5:$B$204,0)),0))</x:f>
      </x:c>
      <x:c r="N120" s="35" t="str">
        <x:f>IF($B120="","",IFERROR(INDEX('계약'!$M$5:$M$204,MATCH($B120,'계약'!$B$5:$B$204,0)),""))</x:f>
      </x:c>
      <x:c r="O120" s="1"/>
      <x:c r="P120" s="1"/>
      <x:c r="Q120" s="1"/>
      <x:c r="R120" s="1"/>
      <x:c r="S120" s="1"/>
      <x:c r="T120" s="1"/>
      <x:c r="U120" s="1"/>
      <x:c r="V120" s="1"/>
      <x:c r="W120" s="1"/>
      <x:c r="X120" s="1"/>
      <x:c r="Y120" s="1"/>
      <x:c r="Z120" s="1"/>
      <x:c r="AA120" s="1"/>
      <x:c r="AB120" s="1"/>
      <x:c r="AC120" s="1"/>
      <x:c r="AD120" s="1"/>
      <x:c r="AE120" s="1"/>
    </x:row>
    <x:row r="121" ht="18" customHeight="1">
      <x:c r="A121" s="273" t="str">
        <x:f>IF(B121="","",117)</x:f>
      </x:c>
      <x:c r="B121" s="35" t="str">
        <x:f>IFERROR(INDEX('자산'!$B$5:$B$204,MATCH(117,'자산'!$Z$5:$Z$204,0)),"")</x:f>
      </x:c>
      <x:c r="C121" s="35" t="str">
        <x:f>IF($B121="","",IFERROR(INDEX('자산'!$C$5:$C$204,MATCH($B121,'자산'!$B$5:$B$204,0)),""))</x:f>
      </x:c>
      <x:c r="D121" s="273" t="str">
        <x:f>IF($B121="","",IFERROR(INDEX('자산'!$D$5:$D$204,MATCH($B121,'자산'!$B$5:$B$204,0)),""))</x:f>
      </x:c>
      <x:c r="E121" s="273" t="str">
        <x:f>IF(B121="","",IF(IF($B121="","",IFERROR(INDEX('계약'!$G$5:$G$204,MATCH($B121,'계약'!$B$5:$B$204,0)),""))&lt;&gt;"","대여중","쉬는차"))</x:f>
      </x:c>
      <x:c r="F121" s="35" t="str">
        <x:f>IF($B121="","",IFERROR(INDEX('계약'!$G$5:$G$204,MATCH($B121,'계약'!$B$5:$B$204,0)),""))</x:f>
      </x:c>
      <x:c r="G121" s="276" t="str">
        <x:f>IF($B121="","",IFERROR(INDEX('계약'!$H$5:$H$204,MATCH($B121,'계약'!$B$5:$B$204,0)),""))</x:f>
      </x:c>
      <x:c r="H121" s="276" t="str">
        <x:f>IF($B121="","",IFERROR(INDEX('계약'!$I$5:$I$204,MATCH($B121,'계약'!$B$5:$B$204,0)),""))</x:f>
      </x:c>
      <x:c r="I121" s="35" t="str">
        <x:f>IF(H121="","",IF(H121&lt;'요약'!$B$2,"만료",(YEAR(H121)-YEAR('요약'!$B$2))*12+MONTH(H121)-MONTH('요약'!$B$2)))</x:f>
      </x:c>
      <x:c r="J121" s="279" t="str">
        <x:f>IF($B121="","",IFERROR(INDEX('계약'!$K$5:$K$204,MATCH($B121,'계약'!$B$5:$B$204,0)),""))</x:f>
      </x:c>
      <x:c r="K121" s="279" t="str">
        <x:f>IF($B121="","",IFERROR(INDEX('계약'!$L$5:$L$204,MATCH($B121,'계약'!$B$5:$B$204,0)),""))</x:f>
      </x:c>
      <x:c r="L121" s="279" t="str">
        <x:f>IF($B121="","",IFERROR(INDEX('수납'!$E$5:$E$204,MATCH($B121,'수납'!$B$5:$B$204,0)),0))</x:f>
      </x:c>
      <x:c r="M121" s="35" t="str">
        <x:f>IF($B121="","",IFERROR(INDEX('수납'!$D$5:$D$204,MATCH($B121,'수납'!$B$5:$B$204,0)),0))</x:f>
      </x:c>
      <x:c r="N121" s="35" t="str">
        <x:f>IF($B121="","",IFERROR(INDEX('계약'!$M$5:$M$204,MATCH($B121,'계약'!$B$5:$B$204,0)),""))</x:f>
      </x:c>
      <x:c r="O121" s="1"/>
      <x:c r="P121" s="1"/>
      <x:c r="Q121" s="1"/>
      <x:c r="R121" s="1"/>
      <x:c r="S121" s="1"/>
      <x:c r="T121" s="1"/>
      <x:c r="U121" s="1"/>
      <x:c r="V121" s="1"/>
      <x:c r="W121" s="1"/>
      <x:c r="X121" s="1"/>
      <x:c r="Y121" s="1"/>
      <x:c r="Z121" s="1"/>
      <x:c r="AA121" s="1"/>
      <x:c r="AB121" s="1"/>
      <x:c r="AC121" s="1"/>
      <x:c r="AD121" s="1"/>
      <x:c r="AE121" s="1"/>
    </x:row>
    <x:row r="122" ht="18" customHeight="1">
      <x:c r="A122" s="273" t="str">
        <x:f>IF(B122="","",118)</x:f>
      </x:c>
      <x:c r="B122" s="35" t="str">
        <x:f>IFERROR(INDEX('자산'!$B$5:$B$204,MATCH(118,'자산'!$Z$5:$Z$204,0)),"")</x:f>
      </x:c>
      <x:c r="C122" s="35" t="str">
        <x:f>IF($B122="","",IFERROR(INDEX('자산'!$C$5:$C$204,MATCH($B122,'자산'!$B$5:$B$204,0)),""))</x:f>
      </x:c>
      <x:c r="D122" s="273" t="str">
        <x:f>IF($B122="","",IFERROR(INDEX('자산'!$D$5:$D$204,MATCH($B122,'자산'!$B$5:$B$204,0)),""))</x:f>
      </x:c>
      <x:c r="E122" s="273" t="str">
        <x:f>IF(B122="","",IF(IF($B122="","",IFERROR(INDEX('계약'!$G$5:$G$204,MATCH($B122,'계약'!$B$5:$B$204,0)),""))&lt;&gt;"","대여중","쉬는차"))</x:f>
      </x:c>
      <x:c r="F122" s="35" t="str">
        <x:f>IF($B122="","",IFERROR(INDEX('계약'!$G$5:$G$204,MATCH($B122,'계약'!$B$5:$B$204,0)),""))</x:f>
      </x:c>
      <x:c r="G122" s="276" t="str">
        <x:f>IF($B122="","",IFERROR(INDEX('계약'!$H$5:$H$204,MATCH($B122,'계약'!$B$5:$B$204,0)),""))</x:f>
      </x:c>
      <x:c r="H122" s="276" t="str">
        <x:f>IF($B122="","",IFERROR(INDEX('계약'!$I$5:$I$204,MATCH($B122,'계약'!$B$5:$B$204,0)),""))</x:f>
      </x:c>
      <x:c r="I122" s="35" t="str">
        <x:f>IF(H122="","",IF(H122&lt;'요약'!$B$2,"만료",(YEAR(H122)-YEAR('요약'!$B$2))*12+MONTH(H122)-MONTH('요약'!$B$2)))</x:f>
      </x:c>
      <x:c r="J122" s="279" t="str">
        <x:f>IF($B122="","",IFERROR(INDEX('계약'!$K$5:$K$204,MATCH($B122,'계약'!$B$5:$B$204,0)),""))</x:f>
      </x:c>
      <x:c r="K122" s="279" t="str">
        <x:f>IF($B122="","",IFERROR(INDEX('계약'!$L$5:$L$204,MATCH($B122,'계약'!$B$5:$B$204,0)),""))</x:f>
      </x:c>
      <x:c r="L122" s="279" t="str">
        <x:f>IF($B122="","",IFERROR(INDEX('수납'!$E$5:$E$204,MATCH($B122,'수납'!$B$5:$B$204,0)),0))</x:f>
      </x:c>
      <x:c r="M122" s="35" t="str">
        <x:f>IF($B122="","",IFERROR(INDEX('수납'!$D$5:$D$204,MATCH($B122,'수납'!$B$5:$B$204,0)),0))</x:f>
      </x:c>
      <x:c r="N122" s="35" t="str">
        <x:f>IF($B122="","",IFERROR(INDEX('계약'!$M$5:$M$204,MATCH($B122,'계약'!$B$5:$B$204,0)),""))</x:f>
      </x:c>
      <x:c r="O122" s="1"/>
      <x:c r="P122" s="1"/>
      <x:c r="Q122" s="1"/>
      <x:c r="R122" s="1"/>
      <x:c r="S122" s="1"/>
      <x:c r="T122" s="1"/>
      <x:c r="U122" s="1"/>
      <x:c r="V122" s="1"/>
      <x:c r="W122" s="1"/>
      <x:c r="X122" s="1"/>
      <x:c r="Y122" s="1"/>
      <x:c r="Z122" s="1"/>
      <x:c r="AA122" s="1"/>
      <x:c r="AB122" s="1"/>
      <x:c r="AC122" s="1"/>
      <x:c r="AD122" s="1"/>
      <x:c r="AE122" s="1"/>
    </x:row>
    <x:row r="123" ht="18" customHeight="1">
      <x:c r="A123" s="273" t="str">
        <x:f>IF(B123="","",119)</x:f>
      </x:c>
      <x:c r="B123" s="35" t="str">
        <x:f>IFERROR(INDEX('자산'!$B$5:$B$204,MATCH(119,'자산'!$Z$5:$Z$204,0)),"")</x:f>
      </x:c>
      <x:c r="C123" s="35" t="str">
        <x:f>IF($B123="","",IFERROR(INDEX('자산'!$C$5:$C$204,MATCH($B123,'자산'!$B$5:$B$204,0)),""))</x:f>
      </x:c>
      <x:c r="D123" s="273" t="str">
        <x:f>IF($B123="","",IFERROR(INDEX('자산'!$D$5:$D$204,MATCH($B123,'자산'!$B$5:$B$204,0)),""))</x:f>
      </x:c>
      <x:c r="E123" s="273" t="str">
        <x:f>IF(B123="","",IF(IF($B123="","",IFERROR(INDEX('계약'!$G$5:$G$204,MATCH($B123,'계약'!$B$5:$B$204,0)),""))&lt;&gt;"","대여중","쉬는차"))</x:f>
      </x:c>
      <x:c r="F123" s="35" t="str">
        <x:f>IF($B123="","",IFERROR(INDEX('계약'!$G$5:$G$204,MATCH($B123,'계약'!$B$5:$B$204,0)),""))</x:f>
      </x:c>
      <x:c r="G123" s="276" t="str">
        <x:f>IF($B123="","",IFERROR(INDEX('계약'!$H$5:$H$204,MATCH($B123,'계약'!$B$5:$B$204,0)),""))</x:f>
      </x:c>
      <x:c r="H123" s="276" t="str">
        <x:f>IF($B123="","",IFERROR(INDEX('계약'!$I$5:$I$204,MATCH($B123,'계약'!$B$5:$B$204,0)),""))</x:f>
      </x:c>
      <x:c r="I123" s="35" t="str">
        <x:f>IF(H123="","",IF(H123&lt;'요약'!$B$2,"만료",(YEAR(H123)-YEAR('요약'!$B$2))*12+MONTH(H123)-MONTH('요약'!$B$2)))</x:f>
      </x:c>
      <x:c r="J123" s="279" t="str">
        <x:f>IF($B123="","",IFERROR(INDEX('계약'!$K$5:$K$204,MATCH($B123,'계약'!$B$5:$B$204,0)),""))</x:f>
      </x:c>
      <x:c r="K123" s="279" t="str">
        <x:f>IF($B123="","",IFERROR(INDEX('계약'!$L$5:$L$204,MATCH($B123,'계약'!$B$5:$B$204,0)),""))</x:f>
      </x:c>
      <x:c r="L123" s="279" t="str">
        <x:f>IF($B123="","",IFERROR(INDEX('수납'!$E$5:$E$204,MATCH($B123,'수납'!$B$5:$B$204,0)),0))</x:f>
      </x:c>
      <x:c r="M123" s="35" t="str">
        <x:f>IF($B123="","",IFERROR(INDEX('수납'!$D$5:$D$204,MATCH($B123,'수납'!$B$5:$B$204,0)),0))</x:f>
      </x:c>
      <x:c r="N123" s="35" t="str">
        <x:f>IF($B123="","",IFERROR(INDEX('계약'!$M$5:$M$204,MATCH($B123,'계약'!$B$5:$B$204,0)),""))</x:f>
      </x:c>
      <x:c r="O123" s="1"/>
      <x:c r="P123" s="1"/>
      <x:c r="Q123" s="1"/>
      <x:c r="R123" s="1"/>
      <x:c r="S123" s="1"/>
      <x:c r="T123" s="1"/>
      <x:c r="U123" s="1"/>
      <x:c r="V123" s="1"/>
      <x:c r="W123" s="1"/>
      <x:c r="X123" s="1"/>
      <x:c r="Y123" s="1"/>
      <x:c r="Z123" s="1"/>
      <x:c r="AA123" s="1"/>
      <x:c r="AB123" s="1"/>
      <x:c r="AC123" s="1"/>
      <x:c r="AD123" s="1"/>
      <x:c r="AE123" s="1"/>
    </x:row>
    <x:row r="124" ht="18" customHeight="1">
      <x:c r="A124" s="273" t="str">
        <x:f>IF(B124="","",120)</x:f>
      </x:c>
      <x:c r="B124" s="35" t="str">
        <x:f>IFERROR(INDEX('자산'!$B$5:$B$204,MATCH(120,'자산'!$Z$5:$Z$204,0)),"")</x:f>
      </x:c>
      <x:c r="C124" s="35" t="str">
        <x:f>IF($B124="","",IFERROR(INDEX('자산'!$C$5:$C$204,MATCH($B124,'자산'!$B$5:$B$204,0)),""))</x:f>
      </x:c>
      <x:c r="D124" s="273" t="str">
        <x:f>IF($B124="","",IFERROR(INDEX('자산'!$D$5:$D$204,MATCH($B124,'자산'!$B$5:$B$204,0)),""))</x:f>
      </x:c>
      <x:c r="E124" s="273" t="str">
        <x:f>IF(B124="","",IF(IF($B124="","",IFERROR(INDEX('계약'!$G$5:$G$204,MATCH($B124,'계약'!$B$5:$B$204,0)),""))&lt;&gt;"","대여중","쉬는차"))</x:f>
      </x:c>
      <x:c r="F124" s="35" t="str">
        <x:f>IF($B124="","",IFERROR(INDEX('계약'!$G$5:$G$204,MATCH($B124,'계약'!$B$5:$B$204,0)),""))</x:f>
      </x:c>
      <x:c r="G124" s="276" t="str">
        <x:f>IF($B124="","",IFERROR(INDEX('계약'!$H$5:$H$204,MATCH($B124,'계약'!$B$5:$B$204,0)),""))</x:f>
      </x:c>
      <x:c r="H124" s="276" t="str">
        <x:f>IF($B124="","",IFERROR(INDEX('계약'!$I$5:$I$204,MATCH($B124,'계약'!$B$5:$B$204,0)),""))</x:f>
      </x:c>
      <x:c r="I124" s="35" t="str">
        <x:f>IF(H124="","",IF(H124&lt;'요약'!$B$2,"만료",(YEAR(H124)-YEAR('요약'!$B$2))*12+MONTH(H124)-MONTH('요약'!$B$2)))</x:f>
      </x:c>
      <x:c r="J124" s="279" t="str">
        <x:f>IF($B124="","",IFERROR(INDEX('계약'!$K$5:$K$204,MATCH($B124,'계약'!$B$5:$B$204,0)),""))</x:f>
      </x:c>
      <x:c r="K124" s="279" t="str">
        <x:f>IF($B124="","",IFERROR(INDEX('계약'!$L$5:$L$204,MATCH($B124,'계약'!$B$5:$B$204,0)),""))</x:f>
      </x:c>
      <x:c r="L124" s="279" t="str">
        <x:f>IF($B124="","",IFERROR(INDEX('수납'!$E$5:$E$204,MATCH($B124,'수납'!$B$5:$B$204,0)),0))</x:f>
      </x:c>
      <x:c r="M124" s="35" t="str">
        <x:f>IF($B124="","",IFERROR(INDEX('수납'!$D$5:$D$204,MATCH($B124,'수납'!$B$5:$B$204,0)),0))</x:f>
      </x:c>
      <x:c r="N124" s="35" t="str">
        <x:f>IF($B124="","",IFERROR(INDEX('계약'!$M$5:$M$204,MATCH($B124,'계약'!$B$5:$B$204,0)),""))</x:f>
      </x:c>
      <x:c r="O124" s="1"/>
      <x:c r="P124" s="1"/>
      <x:c r="Q124" s="1"/>
      <x:c r="R124" s="1"/>
      <x:c r="S124" s="1"/>
      <x:c r="T124" s="1"/>
      <x:c r="U124" s="1"/>
      <x:c r="V124" s="1"/>
      <x:c r="W124" s="1"/>
      <x:c r="X124" s="1"/>
      <x:c r="Y124" s="1"/>
      <x:c r="Z124" s="1"/>
      <x:c r="AA124" s="1"/>
      <x:c r="AB124" s="1"/>
      <x:c r="AC124" s="1"/>
      <x:c r="AD124" s="1"/>
      <x:c r="AE124" s="1"/>
    </x:row>
    <x:row r="125" ht="18" customHeight="1">
      <x:c r="A125" s="273" t="str">
        <x:f>IF(B125="","",121)</x:f>
      </x:c>
      <x:c r="B125" s="35" t="str">
        <x:f>IFERROR(INDEX('자산'!$B$5:$B$204,MATCH(121,'자산'!$Z$5:$Z$204,0)),"")</x:f>
      </x:c>
      <x:c r="C125" s="35" t="str">
        <x:f>IF($B125="","",IFERROR(INDEX('자산'!$C$5:$C$204,MATCH($B125,'자산'!$B$5:$B$204,0)),""))</x:f>
      </x:c>
      <x:c r="D125" s="273" t="str">
        <x:f>IF($B125="","",IFERROR(INDEX('자산'!$D$5:$D$204,MATCH($B125,'자산'!$B$5:$B$204,0)),""))</x:f>
      </x:c>
      <x:c r="E125" s="273" t="str">
        <x:f>IF(B125="","",IF(IF($B125="","",IFERROR(INDEX('계약'!$G$5:$G$204,MATCH($B125,'계약'!$B$5:$B$204,0)),""))&lt;&gt;"","대여중","쉬는차"))</x:f>
      </x:c>
      <x:c r="F125" s="35" t="str">
        <x:f>IF($B125="","",IFERROR(INDEX('계약'!$G$5:$G$204,MATCH($B125,'계약'!$B$5:$B$204,0)),""))</x:f>
      </x:c>
      <x:c r="G125" s="276" t="str">
        <x:f>IF($B125="","",IFERROR(INDEX('계약'!$H$5:$H$204,MATCH($B125,'계약'!$B$5:$B$204,0)),""))</x:f>
      </x:c>
      <x:c r="H125" s="276" t="str">
        <x:f>IF($B125="","",IFERROR(INDEX('계약'!$I$5:$I$204,MATCH($B125,'계약'!$B$5:$B$204,0)),""))</x:f>
      </x:c>
      <x:c r="I125" s="35" t="str">
        <x:f>IF(H125="","",IF(H125&lt;'요약'!$B$2,"만료",(YEAR(H125)-YEAR('요약'!$B$2))*12+MONTH(H125)-MONTH('요약'!$B$2)))</x:f>
      </x:c>
      <x:c r="J125" s="279" t="str">
        <x:f>IF($B125="","",IFERROR(INDEX('계약'!$K$5:$K$204,MATCH($B125,'계약'!$B$5:$B$204,0)),""))</x:f>
      </x:c>
      <x:c r="K125" s="279" t="str">
        <x:f>IF($B125="","",IFERROR(INDEX('계약'!$L$5:$L$204,MATCH($B125,'계약'!$B$5:$B$204,0)),""))</x:f>
      </x:c>
      <x:c r="L125" s="279" t="str">
        <x:f>IF($B125="","",IFERROR(INDEX('수납'!$E$5:$E$204,MATCH($B125,'수납'!$B$5:$B$204,0)),0))</x:f>
      </x:c>
      <x:c r="M125" s="35" t="str">
        <x:f>IF($B125="","",IFERROR(INDEX('수납'!$D$5:$D$204,MATCH($B125,'수납'!$B$5:$B$204,0)),0))</x:f>
      </x:c>
      <x:c r="N125" s="35" t="str">
        <x:f>IF($B125="","",IFERROR(INDEX('계약'!$M$5:$M$204,MATCH($B125,'계약'!$B$5:$B$204,0)),""))</x:f>
      </x:c>
      <x:c r="O125" s="1"/>
      <x:c r="P125" s="1"/>
      <x:c r="Q125" s="1"/>
      <x:c r="R125" s="1"/>
      <x:c r="S125" s="1"/>
      <x:c r="T125" s="1"/>
      <x:c r="U125" s="1"/>
      <x:c r="V125" s="1"/>
      <x:c r="W125" s="1"/>
      <x:c r="X125" s="1"/>
      <x:c r="Y125" s="1"/>
      <x:c r="Z125" s="1"/>
      <x:c r="AA125" s="1"/>
      <x:c r="AB125" s="1"/>
      <x:c r="AC125" s="1"/>
      <x:c r="AD125" s="1"/>
      <x:c r="AE125" s="1"/>
    </x:row>
    <x:row r="126" ht="18" customHeight="1">
      <x:c r="A126" s="273" t="str">
        <x:f>IF(B126="","",122)</x:f>
      </x:c>
      <x:c r="B126" s="35" t="str">
        <x:f>IFERROR(INDEX('자산'!$B$5:$B$204,MATCH(122,'자산'!$Z$5:$Z$204,0)),"")</x:f>
      </x:c>
      <x:c r="C126" s="35" t="str">
        <x:f>IF($B126="","",IFERROR(INDEX('자산'!$C$5:$C$204,MATCH($B126,'자산'!$B$5:$B$204,0)),""))</x:f>
      </x:c>
      <x:c r="D126" s="273" t="str">
        <x:f>IF($B126="","",IFERROR(INDEX('자산'!$D$5:$D$204,MATCH($B126,'자산'!$B$5:$B$204,0)),""))</x:f>
      </x:c>
      <x:c r="E126" s="273" t="str">
        <x:f>IF(B126="","",IF(IF($B126="","",IFERROR(INDEX('계약'!$G$5:$G$204,MATCH($B126,'계약'!$B$5:$B$204,0)),""))&lt;&gt;"","대여중","쉬는차"))</x:f>
      </x:c>
      <x:c r="F126" s="35" t="str">
        <x:f>IF($B126="","",IFERROR(INDEX('계약'!$G$5:$G$204,MATCH($B126,'계약'!$B$5:$B$204,0)),""))</x:f>
      </x:c>
      <x:c r="G126" s="276" t="str">
        <x:f>IF($B126="","",IFERROR(INDEX('계약'!$H$5:$H$204,MATCH($B126,'계약'!$B$5:$B$204,0)),""))</x:f>
      </x:c>
      <x:c r="H126" s="276" t="str">
        <x:f>IF($B126="","",IFERROR(INDEX('계약'!$I$5:$I$204,MATCH($B126,'계약'!$B$5:$B$204,0)),""))</x:f>
      </x:c>
      <x:c r="I126" s="35" t="str">
        <x:f>IF(H126="","",IF(H126&lt;'요약'!$B$2,"만료",(YEAR(H126)-YEAR('요약'!$B$2))*12+MONTH(H126)-MONTH('요약'!$B$2)))</x:f>
      </x:c>
      <x:c r="J126" s="279" t="str">
        <x:f>IF($B126="","",IFERROR(INDEX('계약'!$K$5:$K$204,MATCH($B126,'계약'!$B$5:$B$204,0)),""))</x:f>
      </x:c>
      <x:c r="K126" s="279" t="str">
        <x:f>IF($B126="","",IFERROR(INDEX('계약'!$L$5:$L$204,MATCH($B126,'계약'!$B$5:$B$204,0)),""))</x:f>
      </x:c>
      <x:c r="L126" s="279" t="str">
        <x:f>IF($B126="","",IFERROR(INDEX('수납'!$E$5:$E$204,MATCH($B126,'수납'!$B$5:$B$204,0)),0))</x:f>
      </x:c>
      <x:c r="M126" s="35" t="str">
        <x:f>IF($B126="","",IFERROR(INDEX('수납'!$D$5:$D$204,MATCH($B126,'수납'!$B$5:$B$204,0)),0))</x:f>
      </x:c>
      <x:c r="N126" s="35" t="str">
        <x:f>IF($B126="","",IFERROR(INDEX('계약'!$M$5:$M$204,MATCH($B126,'계약'!$B$5:$B$204,0)),""))</x:f>
      </x:c>
      <x:c r="O126" s="1"/>
      <x:c r="P126" s="1"/>
      <x:c r="Q126" s="1"/>
      <x:c r="R126" s="1"/>
      <x:c r="S126" s="1"/>
      <x:c r="T126" s="1"/>
      <x:c r="U126" s="1"/>
      <x:c r="V126" s="1"/>
      <x:c r="W126" s="1"/>
      <x:c r="X126" s="1"/>
      <x:c r="Y126" s="1"/>
      <x:c r="Z126" s="1"/>
      <x:c r="AA126" s="1"/>
      <x:c r="AB126" s="1"/>
      <x:c r="AC126" s="1"/>
      <x:c r="AD126" s="1"/>
      <x:c r="AE126" s="1"/>
    </x:row>
    <x:row r="127" ht="18" customHeight="1">
      <x:c r="A127" s="273" t="str">
        <x:f>IF(B127="","",123)</x:f>
      </x:c>
      <x:c r="B127" s="35" t="str">
        <x:f>IFERROR(INDEX('자산'!$B$5:$B$204,MATCH(123,'자산'!$Z$5:$Z$204,0)),"")</x:f>
      </x:c>
      <x:c r="C127" s="35" t="str">
        <x:f>IF($B127="","",IFERROR(INDEX('자산'!$C$5:$C$204,MATCH($B127,'자산'!$B$5:$B$204,0)),""))</x:f>
      </x:c>
      <x:c r="D127" s="273" t="str">
        <x:f>IF($B127="","",IFERROR(INDEX('자산'!$D$5:$D$204,MATCH($B127,'자산'!$B$5:$B$204,0)),""))</x:f>
      </x:c>
      <x:c r="E127" s="273" t="str">
        <x:f>IF(B127="","",IF(IF($B127="","",IFERROR(INDEX('계약'!$G$5:$G$204,MATCH($B127,'계약'!$B$5:$B$204,0)),""))&lt;&gt;"","대여중","쉬는차"))</x:f>
      </x:c>
      <x:c r="F127" s="35" t="str">
        <x:f>IF($B127="","",IFERROR(INDEX('계약'!$G$5:$G$204,MATCH($B127,'계약'!$B$5:$B$204,0)),""))</x:f>
      </x:c>
      <x:c r="G127" s="276" t="str">
        <x:f>IF($B127="","",IFERROR(INDEX('계약'!$H$5:$H$204,MATCH($B127,'계약'!$B$5:$B$204,0)),""))</x:f>
      </x:c>
      <x:c r="H127" s="276" t="str">
        <x:f>IF($B127="","",IFERROR(INDEX('계약'!$I$5:$I$204,MATCH($B127,'계약'!$B$5:$B$204,0)),""))</x:f>
      </x:c>
      <x:c r="I127" s="35" t="str">
        <x:f>IF(H127="","",IF(H127&lt;'요약'!$B$2,"만료",(YEAR(H127)-YEAR('요약'!$B$2))*12+MONTH(H127)-MONTH('요약'!$B$2)))</x:f>
      </x:c>
      <x:c r="J127" s="279" t="str">
        <x:f>IF($B127="","",IFERROR(INDEX('계약'!$K$5:$K$204,MATCH($B127,'계약'!$B$5:$B$204,0)),""))</x:f>
      </x:c>
      <x:c r="K127" s="279" t="str">
        <x:f>IF($B127="","",IFERROR(INDEX('계약'!$L$5:$L$204,MATCH($B127,'계약'!$B$5:$B$204,0)),""))</x:f>
      </x:c>
      <x:c r="L127" s="279" t="str">
        <x:f>IF($B127="","",IFERROR(INDEX('수납'!$E$5:$E$204,MATCH($B127,'수납'!$B$5:$B$204,0)),0))</x:f>
      </x:c>
      <x:c r="M127" s="35" t="str">
        <x:f>IF($B127="","",IFERROR(INDEX('수납'!$D$5:$D$204,MATCH($B127,'수납'!$B$5:$B$204,0)),0))</x:f>
      </x:c>
      <x:c r="N127" s="35" t="str">
        <x:f>IF($B127="","",IFERROR(INDEX('계약'!$M$5:$M$204,MATCH($B127,'계약'!$B$5:$B$204,0)),""))</x:f>
      </x:c>
      <x:c r="O127" s="1"/>
      <x:c r="P127" s="1"/>
      <x:c r="Q127" s="1"/>
      <x:c r="R127" s="1"/>
      <x:c r="S127" s="1"/>
      <x:c r="T127" s="1"/>
      <x:c r="U127" s="1"/>
      <x:c r="V127" s="1"/>
      <x:c r="W127" s="1"/>
      <x:c r="X127" s="1"/>
      <x:c r="Y127" s="1"/>
      <x:c r="Z127" s="1"/>
      <x:c r="AA127" s="1"/>
      <x:c r="AB127" s="1"/>
      <x:c r="AC127" s="1"/>
      <x:c r="AD127" s="1"/>
      <x:c r="AE127" s="1"/>
    </x:row>
    <x:row r="128" ht="18" customHeight="1">
      <x:c r="A128" s="273" t="str">
        <x:f>IF(B128="","",124)</x:f>
      </x:c>
      <x:c r="B128" s="35" t="str">
        <x:f>IFERROR(INDEX('자산'!$B$5:$B$204,MATCH(124,'자산'!$Z$5:$Z$204,0)),"")</x:f>
      </x:c>
      <x:c r="C128" s="35" t="str">
        <x:f>IF($B128="","",IFERROR(INDEX('자산'!$C$5:$C$204,MATCH($B128,'자산'!$B$5:$B$204,0)),""))</x:f>
      </x:c>
      <x:c r="D128" s="273" t="str">
        <x:f>IF($B128="","",IFERROR(INDEX('자산'!$D$5:$D$204,MATCH($B128,'자산'!$B$5:$B$204,0)),""))</x:f>
      </x:c>
      <x:c r="E128" s="273" t="str">
        <x:f>IF(B128="","",IF(IF($B128="","",IFERROR(INDEX('계약'!$G$5:$G$204,MATCH($B128,'계약'!$B$5:$B$204,0)),""))&lt;&gt;"","대여중","쉬는차"))</x:f>
      </x:c>
      <x:c r="F128" s="35" t="str">
        <x:f>IF($B128="","",IFERROR(INDEX('계약'!$G$5:$G$204,MATCH($B128,'계약'!$B$5:$B$204,0)),""))</x:f>
      </x:c>
      <x:c r="G128" s="276" t="str">
        <x:f>IF($B128="","",IFERROR(INDEX('계약'!$H$5:$H$204,MATCH($B128,'계약'!$B$5:$B$204,0)),""))</x:f>
      </x:c>
      <x:c r="H128" s="276" t="str">
        <x:f>IF($B128="","",IFERROR(INDEX('계약'!$I$5:$I$204,MATCH($B128,'계약'!$B$5:$B$204,0)),""))</x:f>
      </x:c>
      <x:c r="I128" s="35" t="str">
        <x:f>IF(H128="","",IF(H128&lt;'요약'!$B$2,"만료",(YEAR(H128)-YEAR('요약'!$B$2))*12+MONTH(H128)-MONTH('요약'!$B$2)))</x:f>
      </x:c>
      <x:c r="J128" s="279" t="str">
        <x:f>IF($B128="","",IFERROR(INDEX('계약'!$K$5:$K$204,MATCH($B128,'계약'!$B$5:$B$204,0)),""))</x:f>
      </x:c>
      <x:c r="K128" s="279" t="str">
        <x:f>IF($B128="","",IFERROR(INDEX('계약'!$L$5:$L$204,MATCH($B128,'계약'!$B$5:$B$204,0)),""))</x:f>
      </x:c>
      <x:c r="L128" s="279" t="str">
        <x:f>IF($B128="","",IFERROR(INDEX('수납'!$E$5:$E$204,MATCH($B128,'수납'!$B$5:$B$204,0)),0))</x:f>
      </x:c>
      <x:c r="M128" s="35" t="str">
        <x:f>IF($B128="","",IFERROR(INDEX('수납'!$D$5:$D$204,MATCH($B128,'수납'!$B$5:$B$204,0)),0))</x:f>
      </x:c>
      <x:c r="N128" s="35" t="str">
        <x:f>IF($B128="","",IFERROR(INDEX('계약'!$M$5:$M$204,MATCH($B128,'계약'!$B$5:$B$204,0)),""))</x:f>
      </x:c>
      <x:c r="O128" s="1"/>
      <x:c r="P128" s="1"/>
      <x:c r="Q128" s="1"/>
      <x:c r="R128" s="1"/>
      <x:c r="S128" s="1"/>
      <x:c r="T128" s="1"/>
      <x:c r="U128" s="1"/>
      <x:c r="V128" s="1"/>
      <x:c r="W128" s="1"/>
      <x:c r="X128" s="1"/>
      <x:c r="Y128" s="1"/>
      <x:c r="Z128" s="1"/>
      <x:c r="AA128" s="1"/>
      <x:c r="AB128" s="1"/>
      <x:c r="AC128" s="1"/>
      <x:c r="AD128" s="1"/>
      <x:c r="AE128" s="1"/>
    </x:row>
    <x:row r="129" ht="18" customHeight="1">
      <x:c r="A129" s="273" t="str">
        <x:f>IF(B129="","",125)</x:f>
      </x:c>
      <x:c r="B129" s="35" t="str">
        <x:f>IFERROR(INDEX('자산'!$B$5:$B$204,MATCH(125,'자산'!$Z$5:$Z$204,0)),"")</x:f>
      </x:c>
      <x:c r="C129" s="35" t="str">
        <x:f>IF($B129="","",IFERROR(INDEX('자산'!$C$5:$C$204,MATCH($B129,'자산'!$B$5:$B$204,0)),""))</x:f>
      </x:c>
      <x:c r="D129" s="273" t="str">
        <x:f>IF($B129="","",IFERROR(INDEX('자산'!$D$5:$D$204,MATCH($B129,'자산'!$B$5:$B$204,0)),""))</x:f>
      </x:c>
      <x:c r="E129" s="273" t="str">
        <x:f>IF(B129="","",IF(IF($B129="","",IFERROR(INDEX('계약'!$G$5:$G$204,MATCH($B129,'계약'!$B$5:$B$204,0)),""))&lt;&gt;"","대여중","쉬는차"))</x:f>
      </x:c>
      <x:c r="F129" s="35" t="str">
        <x:f>IF($B129="","",IFERROR(INDEX('계약'!$G$5:$G$204,MATCH($B129,'계약'!$B$5:$B$204,0)),""))</x:f>
      </x:c>
      <x:c r="G129" s="276" t="str">
        <x:f>IF($B129="","",IFERROR(INDEX('계약'!$H$5:$H$204,MATCH($B129,'계약'!$B$5:$B$204,0)),""))</x:f>
      </x:c>
      <x:c r="H129" s="276" t="str">
        <x:f>IF($B129="","",IFERROR(INDEX('계약'!$I$5:$I$204,MATCH($B129,'계약'!$B$5:$B$204,0)),""))</x:f>
      </x:c>
      <x:c r="I129" s="35" t="str">
        <x:f>IF(H129="","",IF(H129&lt;'요약'!$B$2,"만료",(YEAR(H129)-YEAR('요약'!$B$2))*12+MONTH(H129)-MONTH('요약'!$B$2)))</x:f>
      </x:c>
      <x:c r="J129" s="279" t="str">
        <x:f>IF($B129="","",IFERROR(INDEX('계약'!$K$5:$K$204,MATCH($B129,'계약'!$B$5:$B$204,0)),""))</x:f>
      </x:c>
      <x:c r="K129" s="279" t="str">
        <x:f>IF($B129="","",IFERROR(INDEX('계약'!$L$5:$L$204,MATCH($B129,'계약'!$B$5:$B$204,0)),""))</x:f>
      </x:c>
      <x:c r="L129" s="279" t="str">
        <x:f>IF($B129="","",IFERROR(INDEX('수납'!$E$5:$E$204,MATCH($B129,'수납'!$B$5:$B$204,0)),0))</x:f>
      </x:c>
      <x:c r="M129" s="35" t="str">
        <x:f>IF($B129="","",IFERROR(INDEX('수납'!$D$5:$D$204,MATCH($B129,'수납'!$B$5:$B$204,0)),0))</x:f>
      </x:c>
      <x:c r="N129" s="35" t="str">
        <x:f>IF($B129="","",IFERROR(INDEX('계약'!$M$5:$M$204,MATCH($B129,'계약'!$B$5:$B$204,0)),""))</x:f>
      </x:c>
      <x:c r="O129" s="1"/>
      <x:c r="P129" s="1"/>
      <x:c r="Q129" s="1"/>
      <x:c r="R129" s="1"/>
      <x:c r="S129" s="1"/>
      <x:c r="T129" s="1"/>
      <x:c r="U129" s="1"/>
      <x:c r="V129" s="1"/>
      <x:c r="W129" s="1"/>
      <x:c r="X129" s="1"/>
      <x:c r="Y129" s="1"/>
      <x:c r="Z129" s="1"/>
      <x:c r="AA129" s="1"/>
      <x:c r="AB129" s="1"/>
      <x:c r="AC129" s="1"/>
      <x:c r="AD129" s="1"/>
      <x:c r="AE129" s="1"/>
    </x:row>
    <x:row r="130" ht="18" customHeight="1">
      <x:c r="A130" s="273" t="str">
        <x:f>IF(B130="","",126)</x:f>
      </x:c>
      <x:c r="B130" s="35" t="str">
        <x:f>IFERROR(INDEX('자산'!$B$5:$B$204,MATCH(126,'자산'!$Z$5:$Z$204,0)),"")</x:f>
      </x:c>
      <x:c r="C130" s="35" t="str">
        <x:f>IF($B130="","",IFERROR(INDEX('자산'!$C$5:$C$204,MATCH($B130,'자산'!$B$5:$B$204,0)),""))</x:f>
      </x:c>
      <x:c r="D130" s="273" t="str">
        <x:f>IF($B130="","",IFERROR(INDEX('자산'!$D$5:$D$204,MATCH($B130,'자산'!$B$5:$B$204,0)),""))</x:f>
      </x:c>
      <x:c r="E130" s="273" t="str">
        <x:f>IF(B130="","",IF(IF($B130="","",IFERROR(INDEX('계약'!$G$5:$G$204,MATCH($B130,'계약'!$B$5:$B$204,0)),""))&lt;&gt;"","대여중","쉬는차"))</x:f>
      </x:c>
      <x:c r="F130" s="35" t="str">
        <x:f>IF($B130="","",IFERROR(INDEX('계약'!$G$5:$G$204,MATCH($B130,'계약'!$B$5:$B$204,0)),""))</x:f>
      </x:c>
      <x:c r="G130" s="276" t="str">
        <x:f>IF($B130="","",IFERROR(INDEX('계약'!$H$5:$H$204,MATCH($B130,'계약'!$B$5:$B$204,0)),""))</x:f>
      </x:c>
      <x:c r="H130" s="276" t="str">
        <x:f>IF($B130="","",IFERROR(INDEX('계약'!$I$5:$I$204,MATCH($B130,'계약'!$B$5:$B$204,0)),""))</x:f>
      </x:c>
      <x:c r="I130" s="35" t="str">
        <x:f>IF(H130="","",IF(H130&lt;'요약'!$B$2,"만료",(YEAR(H130)-YEAR('요약'!$B$2))*12+MONTH(H130)-MONTH('요약'!$B$2)))</x:f>
      </x:c>
      <x:c r="J130" s="279" t="str">
        <x:f>IF($B130="","",IFERROR(INDEX('계약'!$K$5:$K$204,MATCH($B130,'계약'!$B$5:$B$204,0)),""))</x:f>
      </x:c>
      <x:c r="K130" s="279" t="str">
        <x:f>IF($B130="","",IFERROR(INDEX('계약'!$L$5:$L$204,MATCH($B130,'계약'!$B$5:$B$204,0)),""))</x:f>
      </x:c>
      <x:c r="L130" s="279" t="str">
        <x:f>IF($B130="","",IFERROR(INDEX('수납'!$E$5:$E$204,MATCH($B130,'수납'!$B$5:$B$204,0)),0))</x:f>
      </x:c>
      <x:c r="M130" s="35" t="str">
        <x:f>IF($B130="","",IFERROR(INDEX('수납'!$D$5:$D$204,MATCH($B130,'수납'!$B$5:$B$204,0)),0))</x:f>
      </x:c>
      <x:c r="N130" s="35" t="str">
        <x:f>IF($B130="","",IFERROR(INDEX('계약'!$M$5:$M$204,MATCH($B130,'계약'!$B$5:$B$204,0)),""))</x:f>
      </x:c>
      <x:c r="O130" s="1"/>
      <x:c r="P130" s="1"/>
      <x:c r="Q130" s="1"/>
      <x:c r="R130" s="1"/>
      <x:c r="S130" s="1"/>
      <x:c r="T130" s="1"/>
      <x:c r="U130" s="1"/>
      <x:c r="V130" s="1"/>
      <x:c r="W130" s="1"/>
      <x:c r="X130" s="1"/>
      <x:c r="Y130" s="1"/>
      <x:c r="Z130" s="1"/>
      <x:c r="AA130" s="1"/>
      <x:c r="AB130" s="1"/>
      <x:c r="AC130" s="1"/>
      <x:c r="AD130" s="1"/>
      <x:c r="AE130" s="1"/>
    </x:row>
    <x:row r="131" ht="18" customHeight="1">
      <x:c r="A131" s="273" t="str">
        <x:f>IF(B131="","",127)</x:f>
      </x:c>
      <x:c r="B131" s="35" t="str">
        <x:f>IFERROR(INDEX('자산'!$B$5:$B$204,MATCH(127,'자산'!$Z$5:$Z$204,0)),"")</x:f>
      </x:c>
      <x:c r="C131" s="35" t="str">
        <x:f>IF($B131="","",IFERROR(INDEX('자산'!$C$5:$C$204,MATCH($B131,'자산'!$B$5:$B$204,0)),""))</x:f>
      </x:c>
      <x:c r="D131" s="273" t="str">
        <x:f>IF($B131="","",IFERROR(INDEX('자산'!$D$5:$D$204,MATCH($B131,'자산'!$B$5:$B$204,0)),""))</x:f>
      </x:c>
      <x:c r="E131" s="273" t="str">
        <x:f>IF(B131="","",IF(IF($B131="","",IFERROR(INDEX('계약'!$G$5:$G$204,MATCH($B131,'계약'!$B$5:$B$204,0)),""))&lt;&gt;"","대여중","쉬는차"))</x:f>
      </x:c>
      <x:c r="F131" s="35" t="str">
        <x:f>IF($B131="","",IFERROR(INDEX('계약'!$G$5:$G$204,MATCH($B131,'계약'!$B$5:$B$204,0)),""))</x:f>
      </x:c>
      <x:c r="G131" s="276" t="str">
        <x:f>IF($B131="","",IFERROR(INDEX('계약'!$H$5:$H$204,MATCH($B131,'계약'!$B$5:$B$204,0)),""))</x:f>
      </x:c>
      <x:c r="H131" s="276" t="str">
        <x:f>IF($B131="","",IFERROR(INDEX('계약'!$I$5:$I$204,MATCH($B131,'계약'!$B$5:$B$204,0)),""))</x:f>
      </x:c>
      <x:c r="I131" s="35" t="str">
        <x:f>IF(H131="","",IF(H131&lt;'요약'!$B$2,"만료",(YEAR(H131)-YEAR('요약'!$B$2))*12+MONTH(H131)-MONTH('요약'!$B$2)))</x:f>
      </x:c>
      <x:c r="J131" s="279" t="str">
        <x:f>IF($B131="","",IFERROR(INDEX('계약'!$K$5:$K$204,MATCH($B131,'계약'!$B$5:$B$204,0)),""))</x:f>
      </x:c>
      <x:c r="K131" s="279" t="str">
        <x:f>IF($B131="","",IFERROR(INDEX('계약'!$L$5:$L$204,MATCH($B131,'계약'!$B$5:$B$204,0)),""))</x:f>
      </x:c>
      <x:c r="L131" s="279" t="str">
        <x:f>IF($B131="","",IFERROR(INDEX('수납'!$E$5:$E$204,MATCH($B131,'수납'!$B$5:$B$204,0)),0))</x:f>
      </x:c>
      <x:c r="M131" s="35" t="str">
        <x:f>IF($B131="","",IFERROR(INDEX('수납'!$D$5:$D$204,MATCH($B131,'수납'!$B$5:$B$204,0)),0))</x:f>
      </x:c>
      <x:c r="N131" s="35" t="str">
        <x:f>IF($B131="","",IFERROR(INDEX('계약'!$M$5:$M$204,MATCH($B131,'계약'!$B$5:$B$204,0)),""))</x:f>
      </x:c>
      <x:c r="O131" s="1"/>
      <x:c r="P131" s="1"/>
      <x:c r="Q131" s="1"/>
      <x:c r="R131" s="1"/>
      <x:c r="S131" s="1"/>
      <x:c r="T131" s="1"/>
      <x:c r="U131" s="1"/>
      <x:c r="V131" s="1"/>
      <x:c r="W131" s="1"/>
      <x:c r="X131" s="1"/>
      <x:c r="Y131" s="1"/>
      <x:c r="Z131" s="1"/>
      <x:c r="AA131" s="1"/>
      <x:c r="AB131" s="1"/>
      <x:c r="AC131" s="1"/>
      <x:c r="AD131" s="1"/>
      <x:c r="AE131" s="1"/>
    </x:row>
    <x:row r="132" ht="18" customHeight="1">
      <x:c r="A132" s="273" t="str">
        <x:f>IF(B132="","",128)</x:f>
      </x:c>
      <x:c r="B132" s="35" t="str">
        <x:f>IFERROR(INDEX('자산'!$B$5:$B$204,MATCH(128,'자산'!$Z$5:$Z$204,0)),"")</x:f>
      </x:c>
      <x:c r="C132" s="35" t="str">
        <x:f>IF($B132="","",IFERROR(INDEX('자산'!$C$5:$C$204,MATCH($B132,'자산'!$B$5:$B$204,0)),""))</x:f>
      </x:c>
      <x:c r="D132" s="273" t="str">
        <x:f>IF($B132="","",IFERROR(INDEX('자산'!$D$5:$D$204,MATCH($B132,'자산'!$B$5:$B$204,0)),""))</x:f>
      </x:c>
      <x:c r="E132" s="273" t="str">
        <x:f>IF(B132="","",IF(IF($B132="","",IFERROR(INDEX('계약'!$G$5:$G$204,MATCH($B132,'계약'!$B$5:$B$204,0)),""))&lt;&gt;"","대여중","쉬는차"))</x:f>
      </x:c>
      <x:c r="F132" s="35" t="str">
        <x:f>IF($B132="","",IFERROR(INDEX('계약'!$G$5:$G$204,MATCH($B132,'계약'!$B$5:$B$204,0)),""))</x:f>
      </x:c>
      <x:c r="G132" s="276" t="str">
        <x:f>IF($B132="","",IFERROR(INDEX('계약'!$H$5:$H$204,MATCH($B132,'계약'!$B$5:$B$204,0)),""))</x:f>
      </x:c>
      <x:c r="H132" s="276" t="str">
        <x:f>IF($B132="","",IFERROR(INDEX('계약'!$I$5:$I$204,MATCH($B132,'계약'!$B$5:$B$204,0)),""))</x:f>
      </x:c>
      <x:c r="I132" s="35" t="str">
        <x:f>IF(H132="","",IF(H132&lt;'요약'!$B$2,"만료",(YEAR(H132)-YEAR('요약'!$B$2))*12+MONTH(H132)-MONTH('요약'!$B$2)))</x:f>
      </x:c>
      <x:c r="J132" s="279" t="str">
        <x:f>IF($B132="","",IFERROR(INDEX('계약'!$K$5:$K$204,MATCH($B132,'계약'!$B$5:$B$204,0)),""))</x:f>
      </x:c>
      <x:c r="K132" s="279" t="str">
        <x:f>IF($B132="","",IFERROR(INDEX('계약'!$L$5:$L$204,MATCH($B132,'계약'!$B$5:$B$204,0)),""))</x:f>
      </x:c>
      <x:c r="L132" s="279" t="str">
        <x:f>IF($B132="","",IFERROR(INDEX('수납'!$E$5:$E$204,MATCH($B132,'수납'!$B$5:$B$204,0)),0))</x:f>
      </x:c>
      <x:c r="M132" s="35" t="str">
        <x:f>IF($B132="","",IFERROR(INDEX('수납'!$D$5:$D$204,MATCH($B132,'수납'!$B$5:$B$204,0)),0))</x:f>
      </x:c>
      <x:c r="N132" s="35" t="str">
        <x:f>IF($B132="","",IFERROR(INDEX('계약'!$M$5:$M$204,MATCH($B132,'계약'!$B$5:$B$204,0)),""))</x:f>
      </x:c>
      <x:c r="O132" s="1"/>
      <x:c r="P132" s="1"/>
      <x:c r="Q132" s="1"/>
      <x:c r="R132" s="1"/>
      <x:c r="S132" s="1"/>
      <x:c r="T132" s="1"/>
      <x:c r="U132" s="1"/>
      <x:c r="V132" s="1"/>
      <x:c r="W132" s="1"/>
      <x:c r="X132" s="1"/>
      <x:c r="Y132" s="1"/>
      <x:c r="Z132" s="1"/>
      <x:c r="AA132" s="1"/>
      <x:c r="AB132" s="1"/>
      <x:c r="AC132" s="1"/>
      <x:c r="AD132" s="1"/>
      <x:c r="AE132" s="1"/>
    </x:row>
    <x:row r="133" ht="18" customHeight="1">
      <x:c r="A133" s="273" t="str">
        <x:f>IF(B133="","",129)</x:f>
      </x:c>
      <x:c r="B133" s="35" t="str">
        <x:f>IFERROR(INDEX('자산'!$B$5:$B$204,MATCH(129,'자산'!$Z$5:$Z$204,0)),"")</x:f>
      </x:c>
      <x:c r="C133" s="35" t="str">
        <x:f>IF($B133="","",IFERROR(INDEX('자산'!$C$5:$C$204,MATCH($B133,'자산'!$B$5:$B$204,0)),""))</x:f>
      </x:c>
      <x:c r="D133" s="273" t="str">
        <x:f>IF($B133="","",IFERROR(INDEX('자산'!$D$5:$D$204,MATCH($B133,'자산'!$B$5:$B$204,0)),""))</x:f>
      </x:c>
      <x:c r="E133" s="273" t="str">
        <x:f>IF(B133="","",IF(IF($B133="","",IFERROR(INDEX('계약'!$G$5:$G$204,MATCH($B133,'계약'!$B$5:$B$204,0)),""))&lt;&gt;"","대여중","쉬는차"))</x:f>
      </x:c>
      <x:c r="F133" s="35" t="str">
        <x:f>IF($B133="","",IFERROR(INDEX('계약'!$G$5:$G$204,MATCH($B133,'계약'!$B$5:$B$204,0)),""))</x:f>
      </x:c>
      <x:c r="G133" s="276" t="str">
        <x:f>IF($B133="","",IFERROR(INDEX('계약'!$H$5:$H$204,MATCH($B133,'계약'!$B$5:$B$204,0)),""))</x:f>
      </x:c>
      <x:c r="H133" s="276" t="str">
        <x:f>IF($B133="","",IFERROR(INDEX('계약'!$I$5:$I$204,MATCH($B133,'계약'!$B$5:$B$204,0)),""))</x:f>
      </x:c>
      <x:c r="I133" s="35" t="str">
        <x:f>IF(H133="","",IF(H133&lt;'요약'!$B$2,"만료",(YEAR(H133)-YEAR('요약'!$B$2))*12+MONTH(H133)-MONTH('요약'!$B$2)))</x:f>
      </x:c>
      <x:c r="J133" s="279" t="str">
        <x:f>IF($B133="","",IFERROR(INDEX('계약'!$K$5:$K$204,MATCH($B133,'계약'!$B$5:$B$204,0)),""))</x:f>
      </x:c>
      <x:c r="K133" s="279" t="str">
        <x:f>IF($B133="","",IFERROR(INDEX('계약'!$L$5:$L$204,MATCH($B133,'계약'!$B$5:$B$204,0)),""))</x:f>
      </x:c>
      <x:c r="L133" s="279" t="str">
        <x:f>IF($B133="","",IFERROR(INDEX('수납'!$E$5:$E$204,MATCH($B133,'수납'!$B$5:$B$204,0)),0))</x:f>
      </x:c>
      <x:c r="M133" s="35" t="str">
        <x:f>IF($B133="","",IFERROR(INDEX('수납'!$D$5:$D$204,MATCH($B133,'수납'!$B$5:$B$204,0)),0))</x:f>
      </x:c>
      <x:c r="N133" s="35" t="str">
        <x:f>IF($B133="","",IFERROR(INDEX('계약'!$M$5:$M$204,MATCH($B133,'계약'!$B$5:$B$204,0)),""))</x:f>
      </x:c>
      <x:c r="O133" s="1"/>
      <x:c r="P133" s="1"/>
      <x:c r="Q133" s="1"/>
      <x:c r="R133" s="1"/>
      <x:c r="S133" s="1"/>
      <x:c r="T133" s="1"/>
      <x:c r="U133" s="1"/>
      <x:c r="V133" s="1"/>
      <x:c r="W133" s="1"/>
      <x:c r="X133" s="1"/>
      <x:c r="Y133" s="1"/>
      <x:c r="Z133" s="1"/>
      <x:c r="AA133" s="1"/>
      <x:c r="AB133" s="1"/>
      <x:c r="AC133" s="1"/>
      <x:c r="AD133" s="1"/>
      <x:c r="AE133" s="1"/>
    </x:row>
    <x:row r="134" ht="18" customHeight="1">
      <x:c r="A134" s="273" t="str">
        <x:f>IF(B134="","",130)</x:f>
      </x:c>
      <x:c r="B134" s="35" t="str">
        <x:f>IFERROR(INDEX('자산'!$B$5:$B$204,MATCH(130,'자산'!$Z$5:$Z$204,0)),"")</x:f>
      </x:c>
      <x:c r="C134" s="35" t="str">
        <x:f>IF($B134="","",IFERROR(INDEX('자산'!$C$5:$C$204,MATCH($B134,'자산'!$B$5:$B$204,0)),""))</x:f>
      </x:c>
      <x:c r="D134" s="273" t="str">
        <x:f>IF($B134="","",IFERROR(INDEX('자산'!$D$5:$D$204,MATCH($B134,'자산'!$B$5:$B$204,0)),""))</x:f>
      </x:c>
      <x:c r="E134" s="273" t="str">
        <x:f>IF(B134="","",IF(IF($B134="","",IFERROR(INDEX('계약'!$G$5:$G$204,MATCH($B134,'계약'!$B$5:$B$204,0)),""))&lt;&gt;"","대여중","쉬는차"))</x:f>
      </x:c>
      <x:c r="F134" s="35" t="str">
        <x:f>IF($B134="","",IFERROR(INDEX('계약'!$G$5:$G$204,MATCH($B134,'계약'!$B$5:$B$204,0)),""))</x:f>
      </x:c>
      <x:c r="G134" s="276" t="str">
        <x:f>IF($B134="","",IFERROR(INDEX('계약'!$H$5:$H$204,MATCH($B134,'계약'!$B$5:$B$204,0)),""))</x:f>
      </x:c>
      <x:c r="H134" s="276" t="str">
        <x:f>IF($B134="","",IFERROR(INDEX('계약'!$I$5:$I$204,MATCH($B134,'계약'!$B$5:$B$204,0)),""))</x:f>
      </x:c>
      <x:c r="I134" s="35" t="str">
        <x:f>IF(H134="","",IF(H134&lt;'요약'!$B$2,"만료",(YEAR(H134)-YEAR('요약'!$B$2))*12+MONTH(H134)-MONTH('요약'!$B$2)))</x:f>
      </x:c>
      <x:c r="J134" s="279" t="str">
        <x:f>IF($B134="","",IFERROR(INDEX('계약'!$K$5:$K$204,MATCH($B134,'계약'!$B$5:$B$204,0)),""))</x:f>
      </x:c>
      <x:c r="K134" s="279" t="str">
        <x:f>IF($B134="","",IFERROR(INDEX('계약'!$L$5:$L$204,MATCH($B134,'계약'!$B$5:$B$204,0)),""))</x:f>
      </x:c>
      <x:c r="L134" s="279" t="str">
        <x:f>IF($B134="","",IFERROR(INDEX('수납'!$E$5:$E$204,MATCH($B134,'수납'!$B$5:$B$204,0)),0))</x:f>
      </x:c>
      <x:c r="M134" s="35" t="str">
        <x:f>IF($B134="","",IFERROR(INDEX('수납'!$D$5:$D$204,MATCH($B134,'수납'!$B$5:$B$204,0)),0))</x:f>
      </x:c>
      <x:c r="N134" s="35" t="str">
        <x:f>IF($B134="","",IFERROR(INDEX('계약'!$M$5:$M$204,MATCH($B134,'계약'!$B$5:$B$204,0)),""))</x:f>
      </x:c>
      <x:c r="O134" s="1"/>
      <x:c r="P134" s="1"/>
      <x:c r="Q134" s="1"/>
      <x:c r="R134" s="1"/>
      <x:c r="S134" s="1"/>
      <x:c r="T134" s="1"/>
      <x:c r="U134" s="1"/>
      <x:c r="V134" s="1"/>
      <x:c r="W134" s="1"/>
      <x:c r="X134" s="1"/>
      <x:c r="Y134" s="1"/>
      <x:c r="Z134" s="1"/>
      <x:c r="AA134" s="1"/>
      <x:c r="AB134" s="1"/>
      <x:c r="AC134" s="1"/>
      <x:c r="AD134" s="1"/>
      <x:c r="AE134" s="1"/>
    </x:row>
    <x:row r="135" ht="18" customHeight="1">
      <x:c r="A135" s="273" t="str">
        <x:f>IF(B135="","",131)</x:f>
      </x:c>
      <x:c r="B135" s="35" t="str">
        <x:f>IFERROR(INDEX('자산'!$B$5:$B$204,MATCH(131,'자산'!$Z$5:$Z$204,0)),"")</x:f>
      </x:c>
      <x:c r="C135" s="35" t="str">
        <x:f>IF($B135="","",IFERROR(INDEX('자산'!$C$5:$C$204,MATCH($B135,'자산'!$B$5:$B$204,0)),""))</x:f>
      </x:c>
      <x:c r="D135" s="273" t="str">
        <x:f>IF($B135="","",IFERROR(INDEX('자산'!$D$5:$D$204,MATCH($B135,'자산'!$B$5:$B$204,0)),""))</x:f>
      </x:c>
      <x:c r="E135" s="273" t="str">
        <x:f>IF(B135="","",IF(IF($B135="","",IFERROR(INDEX('계약'!$G$5:$G$204,MATCH($B135,'계약'!$B$5:$B$204,0)),""))&lt;&gt;"","대여중","쉬는차"))</x:f>
      </x:c>
      <x:c r="F135" s="35" t="str">
        <x:f>IF($B135="","",IFERROR(INDEX('계약'!$G$5:$G$204,MATCH($B135,'계약'!$B$5:$B$204,0)),""))</x:f>
      </x:c>
      <x:c r="G135" s="276" t="str">
        <x:f>IF($B135="","",IFERROR(INDEX('계약'!$H$5:$H$204,MATCH($B135,'계약'!$B$5:$B$204,0)),""))</x:f>
      </x:c>
      <x:c r="H135" s="276" t="str">
        <x:f>IF($B135="","",IFERROR(INDEX('계약'!$I$5:$I$204,MATCH($B135,'계약'!$B$5:$B$204,0)),""))</x:f>
      </x:c>
      <x:c r="I135" s="35" t="str">
        <x:f>IF(H135="","",IF(H135&lt;'요약'!$B$2,"만료",(YEAR(H135)-YEAR('요약'!$B$2))*12+MONTH(H135)-MONTH('요약'!$B$2)))</x:f>
      </x:c>
      <x:c r="J135" s="279" t="str">
        <x:f>IF($B135="","",IFERROR(INDEX('계약'!$K$5:$K$204,MATCH($B135,'계약'!$B$5:$B$204,0)),""))</x:f>
      </x:c>
      <x:c r="K135" s="279" t="str">
        <x:f>IF($B135="","",IFERROR(INDEX('계약'!$L$5:$L$204,MATCH($B135,'계약'!$B$5:$B$204,0)),""))</x:f>
      </x:c>
      <x:c r="L135" s="279" t="str">
        <x:f>IF($B135="","",IFERROR(INDEX('수납'!$E$5:$E$204,MATCH($B135,'수납'!$B$5:$B$204,0)),0))</x:f>
      </x:c>
      <x:c r="M135" s="35" t="str">
        <x:f>IF($B135="","",IFERROR(INDEX('수납'!$D$5:$D$204,MATCH($B135,'수납'!$B$5:$B$204,0)),0))</x:f>
      </x:c>
      <x:c r="N135" s="35" t="str">
        <x:f>IF($B135="","",IFERROR(INDEX('계약'!$M$5:$M$204,MATCH($B135,'계약'!$B$5:$B$204,0)),""))</x:f>
      </x:c>
      <x:c r="O135" s="1"/>
      <x:c r="P135" s="1"/>
      <x:c r="Q135" s="1"/>
      <x:c r="R135" s="1"/>
      <x:c r="S135" s="1"/>
      <x:c r="T135" s="1"/>
      <x:c r="U135" s="1"/>
      <x:c r="V135" s="1"/>
      <x:c r="W135" s="1"/>
      <x:c r="X135" s="1"/>
      <x:c r="Y135" s="1"/>
      <x:c r="Z135" s="1"/>
      <x:c r="AA135" s="1"/>
      <x:c r="AB135" s="1"/>
      <x:c r="AC135" s="1"/>
      <x:c r="AD135" s="1"/>
      <x:c r="AE135" s="1"/>
    </x:row>
    <x:row r="136" ht="18" customHeight="1">
      <x:c r="A136" s="273" t="str">
        <x:f>IF(B136="","",132)</x:f>
      </x:c>
      <x:c r="B136" s="35" t="str">
        <x:f>IFERROR(INDEX('자산'!$B$5:$B$204,MATCH(132,'자산'!$Z$5:$Z$204,0)),"")</x:f>
      </x:c>
      <x:c r="C136" s="35" t="str">
        <x:f>IF($B136="","",IFERROR(INDEX('자산'!$C$5:$C$204,MATCH($B136,'자산'!$B$5:$B$204,0)),""))</x:f>
      </x:c>
      <x:c r="D136" s="273" t="str">
        <x:f>IF($B136="","",IFERROR(INDEX('자산'!$D$5:$D$204,MATCH($B136,'자산'!$B$5:$B$204,0)),""))</x:f>
      </x:c>
      <x:c r="E136" s="273" t="str">
        <x:f>IF(B136="","",IF(IF($B136="","",IFERROR(INDEX('계약'!$G$5:$G$204,MATCH($B136,'계약'!$B$5:$B$204,0)),""))&lt;&gt;"","대여중","쉬는차"))</x:f>
      </x:c>
      <x:c r="F136" s="35" t="str">
        <x:f>IF($B136="","",IFERROR(INDEX('계약'!$G$5:$G$204,MATCH($B136,'계약'!$B$5:$B$204,0)),""))</x:f>
      </x:c>
      <x:c r="G136" s="276" t="str">
        <x:f>IF($B136="","",IFERROR(INDEX('계약'!$H$5:$H$204,MATCH($B136,'계약'!$B$5:$B$204,0)),""))</x:f>
      </x:c>
      <x:c r="H136" s="276" t="str">
        <x:f>IF($B136="","",IFERROR(INDEX('계약'!$I$5:$I$204,MATCH($B136,'계약'!$B$5:$B$204,0)),""))</x:f>
      </x:c>
      <x:c r="I136" s="35" t="str">
        <x:f>IF(H136="","",IF(H136&lt;'요약'!$B$2,"만료",(YEAR(H136)-YEAR('요약'!$B$2))*12+MONTH(H136)-MONTH('요약'!$B$2)))</x:f>
      </x:c>
      <x:c r="J136" s="279" t="str">
        <x:f>IF($B136="","",IFERROR(INDEX('계약'!$K$5:$K$204,MATCH($B136,'계약'!$B$5:$B$204,0)),""))</x:f>
      </x:c>
      <x:c r="K136" s="279" t="str">
        <x:f>IF($B136="","",IFERROR(INDEX('계약'!$L$5:$L$204,MATCH($B136,'계약'!$B$5:$B$204,0)),""))</x:f>
      </x:c>
      <x:c r="L136" s="279" t="str">
        <x:f>IF($B136="","",IFERROR(INDEX('수납'!$E$5:$E$204,MATCH($B136,'수납'!$B$5:$B$204,0)),0))</x:f>
      </x:c>
      <x:c r="M136" s="35" t="str">
        <x:f>IF($B136="","",IFERROR(INDEX('수납'!$D$5:$D$204,MATCH($B136,'수납'!$B$5:$B$204,0)),0))</x:f>
      </x:c>
      <x:c r="N136" s="35" t="str">
        <x:f>IF($B136="","",IFERROR(INDEX('계약'!$M$5:$M$204,MATCH($B136,'계약'!$B$5:$B$204,0)),""))</x:f>
      </x:c>
      <x:c r="O136" s="1"/>
      <x:c r="P136" s="1"/>
      <x:c r="Q136" s="1"/>
      <x:c r="R136" s="1"/>
      <x:c r="S136" s="1"/>
      <x:c r="T136" s="1"/>
      <x:c r="U136" s="1"/>
      <x:c r="V136" s="1"/>
      <x:c r="W136" s="1"/>
      <x:c r="X136" s="1"/>
      <x:c r="Y136" s="1"/>
      <x:c r="Z136" s="1"/>
      <x:c r="AA136" s="1"/>
      <x:c r="AB136" s="1"/>
      <x:c r="AC136" s="1"/>
      <x:c r="AD136" s="1"/>
      <x:c r="AE136" s="1"/>
    </x:row>
    <x:row r="137" ht="18" customHeight="1">
      <x:c r="A137" s="273" t="str">
        <x:f>IF(B137="","",133)</x:f>
      </x:c>
      <x:c r="B137" s="35" t="str">
        <x:f>IFERROR(INDEX('자산'!$B$5:$B$204,MATCH(133,'자산'!$Z$5:$Z$204,0)),"")</x:f>
      </x:c>
      <x:c r="C137" s="35" t="str">
        <x:f>IF($B137="","",IFERROR(INDEX('자산'!$C$5:$C$204,MATCH($B137,'자산'!$B$5:$B$204,0)),""))</x:f>
      </x:c>
      <x:c r="D137" s="273" t="str">
        <x:f>IF($B137="","",IFERROR(INDEX('자산'!$D$5:$D$204,MATCH($B137,'자산'!$B$5:$B$204,0)),""))</x:f>
      </x:c>
      <x:c r="E137" s="273" t="str">
        <x:f>IF(B137="","",IF(IF($B137="","",IFERROR(INDEX('계약'!$G$5:$G$204,MATCH($B137,'계약'!$B$5:$B$204,0)),""))&lt;&gt;"","대여중","쉬는차"))</x:f>
      </x:c>
      <x:c r="F137" s="35" t="str">
        <x:f>IF($B137="","",IFERROR(INDEX('계약'!$G$5:$G$204,MATCH($B137,'계약'!$B$5:$B$204,0)),""))</x:f>
      </x:c>
      <x:c r="G137" s="276" t="str">
        <x:f>IF($B137="","",IFERROR(INDEX('계약'!$H$5:$H$204,MATCH($B137,'계약'!$B$5:$B$204,0)),""))</x:f>
      </x:c>
      <x:c r="H137" s="276" t="str">
        <x:f>IF($B137="","",IFERROR(INDEX('계약'!$I$5:$I$204,MATCH($B137,'계약'!$B$5:$B$204,0)),""))</x:f>
      </x:c>
      <x:c r="I137" s="35" t="str">
        <x:f>IF(H137="","",IF(H137&lt;'요약'!$B$2,"만료",(YEAR(H137)-YEAR('요약'!$B$2))*12+MONTH(H137)-MONTH('요약'!$B$2)))</x:f>
      </x:c>
      <x:c r="J137" s="279" t="str">
        <x:f>IF($B137="","",IFERROR(INDEX('계약'!$K$5:$K$204,MATCH($B137,'계약'!$B$5:$B$204,0)),""))</x:f>
      </x:c>
      <x:c r="K137" s="279" t="str">
        <x:f>IF($B137="","",IFERROR(INDEX('계약'!$L$5:$L$204,MATCH($B137,'계약'!$B$5:$B$204,0)),""))</x:f>
      </x:c>
      <x:c r="L137" s="279" t="str">
        <x:f>IF($B137="","",IFERROR(INDEX('수납'!$E$5:$E$204,MATCH($B137,'수납'!$B$5:$B$204,0)),0))</x:f>
      </x:c>
      <x:c r="M137" s="35" t="str">
        <x:f>IF($B137="","",IFERROR(INDEX('수납'!$D$5:$D$204,MATCH($B137,'수납'!$B$5:$B$204,0)),0))</x:f>
      </x:c>
      <x:c r="N137" s="35" t="str">
        <x:f>IF($B137="","",IFERROR(INDEX('계약'!$M$5:$M$204,MATCH($B137,'계약'!$B$5:$B$204,0)),""))</x:f>
      </x:c>
      <x:c r="O137" s="1"/>
      <x:c r="P137" s="1"/>
      <x:c r="Q137" s="1"/>
      <x:c r="R137" s="1"/>
      <x:c r="S137" s="1"/>
      <x:c r="T137" s="1"/>
      <x:c r="U137" s="1"/>
      <x:c r="V137" s="1"/>
      <x:c r="W137" s="1"/>
      <x:c r="X137" s="1"/>
      <x:c r="Y137" s="1"/>
      <x:c r="Z137" s="1"/>
      <x:c r="AA137" s="1"/>
      <x:c r="AB137" s="1"/>
      <x:c r="AC137" s="1"/>
      <x:c r="AD137" s="1"/>
      <x:c r="AE137" s="1"/>
    </x:row>
    <x:row r="138" ht="18" customHeight="1">
      <x:c r="A138" s="273" t="str">
        <x:f>IF(B138="","",134)</x:f>
      </x:c>
      <x:c r="B138" s="35" t="str">
        <x:f>IFERROR(INDEX('자산'!$B$5:$B$204,MATCH(134,'자산'!$Z$5:$Z$204,0)),"")</x:f>
      </x:c>
      <x:c r="C138" s="35" t="str">
        <x:f>IF($B138="","",IFERROR(INDEX('자산'!$C$5:$C$204,MATCH($B138,'자산'!$B$5:$B$204,0)),""))</x:f>
      </x:c>
      <x:c r="D138" s="273" t="str">
        <x:f>IF($B138="","",IFERROR(INDEX('자산'!$D$5:$D$204,MATCH($B138,'자산'!$B$5:$B$204,0)),""))</x:f>
      </x:c>
      <x:c r="E138" s="273" t="str">
        <x:f>IF(B138="","",IF(IF($B138="","",IFERROR(INDEX('계약'!$G$5:$G$204,MATCH($B138,'계약'!$B$5:$B$204,0)),""))&lt;&gt;"","대여중","쉬는차"))</x:f>
      </x:c>
      <x:c r="F138" s="35" t="str">
        <x:f>IF($B138="","",IFERROR(INDEX('계약'!$G$5:$G$204,MATCH($B138,'계약'!$B$5:$B$204,0)),""))</x:f>
      </x:c>
      <x:c r="G138" s="276" t="str">
        <x:f>IF($B138="","",IFERROR(INDEX('계약'!$H$5:$H$204,MATCH($B138,'계약'!$B$5:$B$204,0)),""))</x:f>
      </x:c>
      <x:c r="H138" s="276" t="str">
        <x:f>IF($B138="","",IFERROR(INDEX('계약'!$I$5:$I$204,MATCH($B138,'계약'!$B$5:$B$204,0)),""))</x:f>
      </x:c>
      <x:c r="I138" s="35" t="str">
        <x:f>IF(H138="","",IF(H138&lt;'요약'!$B$2,"만료",(YEAR(H138)-YEAR('요약'!$B$2))*12+MONTH(H138)-MONTH('요약'!$B$2)))</x:f>
      </x:c>
      <x:c r="J138" s="279" t="str">
        <x:f>IF($B138="","",IFERROR(INDEX('계약'!$K$5:$K$204,MATCH($B138,'계약'!$B$5:$B$204,0)),""))</x:f>
      </x:c>
      <x:c r="K138" s="279" t="str">
        <x:f>IF($B138="","",IFERROR(INDEX('계약'!$L$5:$L$204,MATCH($B138,'계약'!$B$5:$B$204,0)),""))</x:f>
      </x:c>
      <x:c r="L138" s="279" t="str">
        <x:f>IF($B138="","",IFERROR(INDEX('수납'!$E$5:$E$204,MATCH($B138,'수납'!$B$5:$B$204,0)),0))</x:f>
      </x:c>
      <x:c r="M138" s="35" t="str">
        <x:f>IF($B138="","",IFERROR(INDEX('수납'!$D$5:$D$204,MATCH($B138,'수납'!$B$5:$B$204,0)),0))</x:f>
      </x:c>
      <x:c r="N138" s="35" t="str">
        <x:f>IF($B138="","",IFERROR(INDEX('계약'!$M$5:$M$204,MATCH($B138,'계약'!$B$5:$B$204,0)),""))</x:f>
      </x:c>
      <x:c r="O138" s="1"/>
      <x:c r="P138" s="1"/>
      <x:c r="Q138" s="1"/>
      <x:c r="R138" s="1"/>
      <x:c r="S138" s="1"/>
      <x:c r="T138" s="1"/>
      <x:c r="U138" s="1"/>
      <x:c r="V138" s="1"/>
      <x:c r="W138" s="1"/>
      <x:c r="X138" s="1"/>
      <x:c r="Y138" s="1"/>
      <x:c r="Z138" s="1"/>
      <x:c r="AA138" s="1"/>
      <x:c r="AB138" s="1"/>
      <x:c r="AC138" s="1"/>
      <x:c r="AD138" s="1"/>
      <x:c r="AE138" s="1"/>
    </x:row>
    <x:row r="139" ht="18" customHeight="1">
      <x:c r="A139" s="273" t="str">
        <x:f>IF(B139="","",135)</x:f>
      </x:c>
      <x:c r="B139" s="35" t="str">
        <x:f>IFERROR(INDEX('자산'!$B$5:$B$204,MATCH(135,'자산'!$Z$5:$Z$204,0)),"")</x:f>
      </x:c>
      <x:c r="C139" s="35" t="str">
        <x:f>IF($B139="","",IFERROR(INDEX('자산'!$C$5:$C$204,MATCH($B139,'자산'!$B$5:$B$204,0)),""))</x:f>
      </x:c>
      <x:c r="D139" s="273" t="str">
        <x:f>IF($B139="","",IFERROR(INDEX('자산'!$D$5:$D$204,MATCH($B139,'자산'!$B$5:$B$204,0)),""))</x:f>
      </x:c>
      <x:c r="E139" s="273" t="str">
        <x:f>IF(B139="","",IF(IF($B139="","",IFERROR(INDEX('계약'!$G$5:$G$204,MATCH($B139,'계약'!$B$5:$B$204,0)),""))&lt;&gt;"","대여중","쉬는차"))</x:f>
      </x:c>
      <x:c r="F139" s="35" t="str">
        <x:f>IF($B139="","",IFERROR(INDEX('계약'!$G$5:$G$204,MATCH($B139,'계약'!$B$5:$B$204,0)),""))</x:f>
      </x:c>
      <x:c r="G139" s="276" t="str">
        <x:f>IF($B139="","",IFERROR(INDEX('계약'!$H$5:$H$204,MATCH($B139,'계약'!$B$5:$B$204,0)),""))</x:f>
      </x:c>
      <x:c r="H139" s="276" t="str">
        <x:f>IF($B139="","",IFERROR(INDEX('계약'!$I$5:$I$204,MATCH($B139,'계약'!$B$5:$B$204,0)),""))</x:f>
      </x:c>
      <x:c r="I139" s="35" t="str">
        <x:f>IF(H139="","",IF(H139&lt;'요약'!$B$2,"만료",(YEAR(H139)-YEAR('요약'!$B$2))*12+MONTH(H139)-MONTH('요약'!$B$2)))</x:f>
      </x:c>
      <x:c r="J139" s="279" t="str">
        <x:f>IF($B139="","",IFERROR(INDEX('계약'!$K$5:$K$204,MATCH($B139,'계약'!$B$5:$B$204,0)),""))</x:f>
      </x:c>
      <x:c r="K139" s="279" t="str">
        <x:f>IF($B139="","",IFERROR(INDEX('계약'!$L$5:$L$204,MATCH($B139,'계약'!$B$5:$B$204,0)),""))</x:f>
      </x:c>
      <x:c r="L139" s="279" t="str">
        <x:f>IF($B139="","",IFERROR(INDEX('수납'!$E$5:$E$204,MATCH($B139,'수납'!$B$5:$B$204,0)),0))</x:f>
      </x:c>
      <x:c r="M139" s="35" t="str">
        <x:f>IF($B139="","",IFERROR(INDEX('수납'!$D$5:$D$204,MATCH($B139,'수납'!$B$5:$B$204,0)),0))</x:f>
      </x:c>
      <x:c r="N139" s="35" t="str">
        <x:f>IF($B139="","",IFERROR(INDEX('계약'!$M$5:$M$204,MATCH($B139,'계약'!$B$5:$B$204,0)),""))</x:f>
      </x:c>
      <x:c r="O139" s="1"/>
      <x:c r="P139" s="1"/>
      <x:c r="Q139" s="1"/>
      <x:c r="R139" s="1"/>
      <x:c r="S139" s="1"/>
      <x:c r="T139" s="1"/>
      <x:c r="U139" s="1"/>
      <x:c r="V139" s="1"/>
      <x:c r="W139" s="1"/>
      <x:c r="X139" s="1"/>
      <x:c r="Y139" s="1"/>
      <x:c r="Z139" s="1"/>
      <x:c r="AA139" s="1"/>
      <x:c r="AB139" s="1"/>
      <x:c r="AC139" s="1"/>
      <x:c r="AD139" s="1"/>
      <x:c r="AE139" s="1"/>
    </x:row>
    <x:row r="140" ht="18" customHeight="1">
      <x:c r="A140" s="273" t="str">
        <x:f>IF(B140="","",136)</x:f>
      </x:c>
      <x:c r="B140" s="35" t="str">
        <x:f>IFERROR(INDEX('자산'!$B$5:$B$204,MATCH(136,'자산'!$Z$5:$Z$204,0)),"")</x:f>
      </x:c>
      <x:c r="C140" s="35" t="str">
        <x:f>IF($B140="","",IFERROR(INDEX('자산'!$C$5:$C$204,MATCH($B140,'자산'!$B$5:$B$204,0)),""))</x:f>
      </x:c>
      <x:c r="D140" s="273" t="str">
        <x:f>IF($B140="","",IFERROR(INDEX('자산'!$D$5:$D$204,MATCH($B140,'자산'!$B$5:$B$204,0)),""))</x:f>
      </x:c>
      <x:c r="E140" s="273" t="str">
        <x:f>IF(B140="","",IF(IF($B140="","",IFERROR(INDEX('계약'!$G$5:$G$204,MATCH($B140,'계약'!$B$5:$B$204,0)),""))&lt;&gt;"","대여중","쉬는차"))</x:f>
      </x:c>
      <x:c r="F140" s="35" t="str">
        <x:f>IF($B140="","",IFERROR(INDEX('계약'!$G$5:$G$204,MATCH($B140,'계약'!$B$5:$B$204,0)),""))</x:f>
      </x:c>
      <x:c r="G140" s="276" t="str">
        <x:f>IF($B140="","",IFERROR(INDEX('계약'!$H$5:$H$204,MATCH($B140,'계약'!$B$5:$B$204,0)),""))</x:f>
      </x:c>
      <x:c r="H140" s="276" t="str">
        <x:f>IF($B140="","",IFERROR(INDEX('계약'!$I$5:$I$204,MATCH($B140,'계약'!$B$5:$B$204,0)),""))</x:f>
      </x:c>
      <x:c r="I140" s="35" t="str">
        <x:f>IF(H140="","",IF(H140&lt;'요약'!$B$2,"만료",(YEAR(H140)-YEAR('요약'!$B$2))*12+MONTH(H140)-MONTH('요약'!$B$2)))</x:f>
      </x:c>
      <x:c r="J140" s="279" t="str">
        <x:f>IF($B140="","",IFERROR(INDEX('계약'!$K$5:$K$204,MATCH($B140,'계약'!$B$5:$B$204,0)),""))</x:f>
      </x:c>
      <x:c r="K140" s="279" t="str">
        <x:f>IF($B140="","",IFERROR(INDEX('계약'!$L$5:$L$204,MATCH($B140,'계약'!$B$5:$B$204,0)),""))</x:f>
      </x:c>
      <x:c r="L140" s="279" t="str">
        <x:f>IF($B140="","",IFERROR(INDEX('수납'!$E$5:$E$204,MATCH($B140,'수납'!$B$5:$B$204,0)),0))</x:f>
      </x:c>
      <x:c r="M140" s="35" t="str">
        <x:f>IF($B140="","",IFERROR(INDEX('수납'!$D$5:$D$204,MATCH($B140,'수납'!$B$5:$B$204,0)),0))</x:f>
      </x:c>
      <x:c r="N140" s="35" t="str">
        <x:f>IF($B140="","",IFERROR(INDEX('계약'!$M$5:$M$204,MATCH($B140,'계약'!$B$5:$B$204,0)),""))</x:f>
      </x:c>
      <x:c r="O140" s="1"/>
      <x:c r="P140" s="1"/>
      <x:c r="Q140" s="1"/>
      <x:c r="R140" s="1"/>
      <x:c r="S140" s="1"/>
      <x:c r="T140" s="1"/>
      <x:c r="U140" s="1"/>
      <x:c r="V140" s="1"/>
      <x:c r="W140" s="1"/>
      <x:c r="X140" s="1"/>
      <x:c r="Y140" s="1"/>
      <x:c r="Z140" s="1"/>
      <x:c r="AA140" s="1"/>
      <x:c r="AB140" s="1"/>
      <x:c r="AC140" s="1"/>
      <x:c r="AD140" s="1"/>
      <x:c r="AE140" s="1"/>
    </x:row>
    <x:row r="141" ht="18" customHeight="1">
      <x:c r="A141" s="273" t="str">
        <x:f>IF(B141="","",137)</x:f>
      </x:c>
      <x:c r="B141" s="35" t="str">
        <x:f>IFERROR(INDEX('자산'!$B$5:$B$204,MATCH(137,'자산'!$Z$5:$Z$204,0)),"")</x:f>
      </x:c>
      <x:c r="C141" s="35" t="str">
        <x:f>IF($B141="","",IFERROR(INDEX('자산'!$C$5:$C$204,MATCH($B141,'자산'!$B$5:$B$204,0)),""))</x:f>
      </x:c>
      <x:c r="D141" s="273" t="str">
        <x:f>IF($B141="","",IFERROR(INDEX('자산'!$D$5:$D$204,MATCH($B141,'자산'!$B$5:$B$204,0)),""))</x:f>
      </x:c>
      <x:c r="E141" s="273" t="str">
        <x:f>IF(B141="","",IF(IF($B141="","",IFERROR(INDEX('계약'!$G$5:$G$204,MATCH($B141,'계약'!$B$5:$B$204,0)),""))&lt;&gt;"","대여중","쉬는차"))</x:f>
      </x:c>
      <x:c r="F141" s="35" t="str">
        <x:f>IF($B141="","",IFERROR(INDEX('계약'!$G$5:$G$204,MATCH($B141,'계약'!$B$5:$B$204,0)),""))</x:f>
      </x:c>
      <x:c r="G141" s="276" t="str">
        <x:f>IF($B141="","",IFERROR(INDEX('계약'!$H$5:$H$204,MATCH($B141,'계약'!$B$5:$B$204,0)),""))</x:f>
      </x:c>
      <x:c r="H141" s="276" t="str">
        <x:f>IF($B141="","",IFERROR(INDEX('계약'!$I$5:$I$204,MATCH($B141,'계약'!$B$5:$B$204,0)),""))</x:f>
      </x:c>
      <x:c r="I141" s="35" t="str">
        <x:f>IF(H141="","",IF(H141&lt;'요약'!$B$2,"만료",(YEAR(H141)-YEAR('요약'!$B$2))*12+MONTH(H141)-MONTH('요약'!$B$2)))</x:f>
      </x:c>
      <x:c r="J141" s="279" t="str">
        <x:f>IF($B141="","",IFERROR(INDEX('계약'!$K$5:$K$204,MATCH($B141,'계약'!$B$5:$B$204,0)),""))</x:f>
      </x:c>
      <x:c r="K141" s="279" t="str">
        <x:f>IF($B141="","",IFERROR(INDEX('계약'!$L$5:$L$204,MATCH($B141,'계약'!$B$5:$B$204,0)),""))</x:f>
      </x:c>
      <x:c r="L141" s="279" t="str">
        <x:f>IF($B141="","",IFERROR(INDEX('수납'!$E$5:$E$204,MATCH($B141,'수납'!$B$5:$B$204,0)),0))</x:f>
      </x:c>
      <x:c r="M141" s="35" t="str">
        <x:f>IF($B141="","",IFERROR(INDEX('수납'!$D$5:$D$204,MATCH($B141,'수납'!$B$5:$B$204,0)),0))</x:f>
      </x:c>
      <x:c r="N141" s="35" t="str">
        <x:f>IF($B141="","",IFERROR(INDEX('계약'!$M$5:$M$204,MATCH($B141,'계약'!$B$5:$B$204,0)),""))</x:f>
      </x:c>
      <x:c r="O141" s="1"/>
      <x:c r="P141" s="1"/>
      <x:c r="Q141" s="1"/>
      <x:c r="R141" s="1"/>
      <x:c r="S141" s="1"/>
      <x:c r="T141" s="1"/>
      <x:c r="U141" s="1"/>
      <x:c r="V141" s="1"/>
      <x:c r="W141" s="1"/>
      <x:c r="X141" s="1"/>
      <x:c r="Y141" s="1"/>
      <x:c r="Z141" s="1"/>
      <x:c r="AA141" s="1"/>
      <x:c r="AB141" s="1"/>
      <x:c r="AC141" s="1"/>
      <x:c r="AD141" s="1"/>
      <x:c r="AE141" s="1"/>
    </x:row>
    <x:row r="142" ht="18" customHeight="1">
      <x:c r="A142" s="273" t="str">
        <x:f>IF(B142="","",138)</x:f>
      </x:c>
      <x:c r="B142" s="35" t="str">
        <x:f>IFERROR(INDEX('자산'!$B$5:$B$204,MATCH(138,'자산'!$Z$5:$Z$204,0)),"")</x:f>
      </x:c>
      <x:c r="C142" s="35" t="str">
        <x:f>IF($B142="","",IFERROR(INDEX('자산'!$C$5:$C$204,MATCH($B142,'자산'!$B$5:$B$204,0)),""))</x:f>
      </x:c>
      <x:c r="D142" s="273" t="str">
        <x:f>IF($B142="","",IFERROR(INDEX('자산'!$D$5:$D$204,MATCH($B142,'자산'!$B$5:$B$204,0)),""))</x:f>
      </x:c>
      <x:c r="E142" s="273" t="str">
        <x:f>IF(B142="","",IF(IF($B142="","",IFERROR(INDEX('계약'!$G$5:$G$204,MATCH($B142,'계약'!$B$5:$B$204,0)),""))&lt;&gt;"","대여중","쉬는차"))</x:f>
      </x:c>
      <x:c r="F142" s="35" t="str">
        <x:f>IF($B142="","",IFERROR(INDEX('계약'!$G$5:$G$204,MATCH($B142,'계약'!$B$5:$B$204,0)),""))</x:f>
      </x:c>
      <x:c r="G142" s="276" t="str">
        <x:f>IF($B142="","",IFERROR(INDEX('계약'!$H$5:$H$204,MATCH($B142,'계약'!$B$5:$B$204,0)),""))</x:f>
      </x:c>
      <x:c r="H142" s="276" t="str">
        <x:f>IF($B142="","",IFERROR(INDEX('계약'!$I$5:$I$204,MATCH($B142,'계약'!$B$5:$B$204,0)),""))</x:f>
      </x:c>
      <x:c r="I142" s="35" t="str">
        <x:f>IF(H142="","",IF(H142&lt;'요약'!$B$2,"만료",(YEAR(H142)-YEAR('요약'!$B$2))*12+MONTH(H142)-MONTH('요약'!$B$2)))</x:f>
      </x:c>
      <x:c r="J142" s="279" t="str">
        <x:f>IF($B142="","",IFERROR(INDEX('계약'!$K$5:$K$204,MATCH($B142,'계약'!$B$5:$B$204,0)),""))</x:f>
      </x:c>
      <x:c r="K142" s="279" t="str">
        <x:f>IF($B142="","",IFERROR(INDEX('계약'!$L$5:$L$204,MATCH($B142,'계약'!$B$5:$B$204,0)),""))</x:f>
      </x:c>
      <x:c r="L142" s="279" t="str">
        <x:f>IF($B142="","",IFERROR(INDEX('수납'!$E$5:$E$204,MATCH($B142,'수납'!$B$5:$B$204,0)),0))</x:f>
      </x:c>
      <x:c r="M142" s="35" t="str">
        <x:f>IF($B142="","",IFERROR(INDEX('수납'!$D$5:$D$204,MATCH($B142,'수납'!$B$5:$B$204,0)),0))</x:f>
      </x:c>
      <x:c r="N142" s="35" t="str">
        <x:f>IF($B142="","",IFERROR(INDEX('계약'!$M$5:$M$204,MATCH($B142,'계약'!$B$5:$B$204,0)),""))</x:f>
      </x:c>
      <x:c r="O142" s="1"/>
      <x:c r="P142" s="1"/>
      <x:c r="Q142" s="1"/>
      <x:c r="R142" s="1"/>
      <x:c r="S142" s="1"/>
      <x:c r="T142" s="1"/>
      <x:c r="U142" s="1"/>
      <x:c r="V142" s="1"/>
      <x:c r="W142" s="1"/>
      <x:c r="X142" s="1"/>
      <x:c r="Y142" s="1"/>
      <x:c r="Z142" s="1"/>
      <x:c r="AA142" s="1"/>
      <x:c r="AB142" s="1"/>
      <x:c r="AC142" s="1"/>
      <x:c r="AD142" s="1"/>
      <x:c r="AE142" s="1"/>
    </x:row>
    <x:row r="143" ht="18" customHeight="1">
      <x:c r="A143" s="273" t="str">
        <x:f>IF(B143="","",139)</x:f>
      </x:c>
      <x:c r="B143" s="35" t="str">
        <x:f>IFERROR(INDEX('자산'!$B$5:$B$204,MATCH(139,'자산'!$Z$5:$Z$204,0)),"")</x:f>
      </x:c>
      <x:c r="C143" s="35" t="str">
        <x:f>IF($B143="","",IFERROR(INDEX('자산'!$C$5:$C$204,MATCH($B143,'자산'!$B$5:$B$204,0)),""))</x:f>
      </x:c>
      <x:c r="D143" s="273" t="str">
        <x:f>IF($B143="","",IFERROR(INDEX('자산'!$D$5:$D$204,MATCH($B143,'자산'!$B$5:$B$204,0)),""))</x:f>
      </x:c>
      <x:c r="E143" s="273" t="str">
        <x:f>IF(B143="","",IF(IF($B143="","",IFERROR(INDEX('계약'!$G$5:$G$204,MATCH($B143,'계약'!$B$5:$B$204,0)),""))&lt;&gt;"","대여중","쉬는차"))</x:f>
      </x:c>
      <x:c r="F143" s="35" t="str">
        <x:f>IF($B143="","",IFERROR(INDEX('계약'!$G$5:$G$204,MATCH($B143,'계약'!$B$5:$B$204,0)),""))</x:f>
      </x:c>
      <x:c r="G143" s="276" t="str">
        <x:f>IF($B143="","",IFERROR(INDEX('계약'!$H$5:$H$204,MATCH($B143,'계약'!$B$5:$B$204,0)),""))</x:f>
      </x:c>
      <x:c r="H143" s="276" t="str">
        <x:f>IF($B143="","",IFERROR(INDEX('계약'!$I$5:$I$204,MATCH($B143,'계약'!$B$5:$B$204,0)),""))</x:f>
      </x:c>
      <x:c r="I143" s="35" t="str">
        <x:f>IF(H143="","",IF(H143&lt;'요약'!$B$2,"만료",(YEAR(H143)-YEAR('요약'!$B$2))*12+MONTH(H143)-MONTH('요약'!$B$2)))</x:f>
      </x:c>
      <x:c r="J143" s="279" t="str">
        <x:f>IF($B143="","",IFERROR(INDEX('계약'!$K$5:$K$204,MATCH($B143,'계약'!$B$5:$B$204,0)),""))</x:f>
      </x:c>
      <x:c r="K143" s="279" t="str">
        <x:f>IF($B143="","",IFERROR(INDEX('계약'!$L$5:$L$204,MATCH($B143,'계약'!$B$5:$B$204,0)),""))</x:f>
      </x:c>
      <x:c r="L143" s="279" t="str">
        <x:f>IF($B143="","",IFERROR(INDEX('수납'!$E$5:$E$204,MATCH($B143,'수납'!$B$5:$B$204,0)),0))</x:f>
      </x:c>
      <x:c r="M143" s="35" t="str">
        <x:f>IF($B143="","",IFERROR(INDEX('수납'!$D$5:$D$204,MATCH($B143,'수납'!$B$5:$B$204,0)),0))</x:f>
      </x:c>
      <x:c r="N143" s="35" t="str">
        <x:f>IF($B143="","",IFERROR(INDEX('계약'!$M$5:$M$204,MATCH($B143,'계약'!$B$5:$B$204,0)),""))</x:f>
      </x:c>
      <x:c r="O143" s="1"/>
      <x:c r="P143" s="1"/>
      <x:c r="Q143" s="1"/>
      <x:c r="R143" s="1"/>
      <x:c r="S143" s="1"/>
      <x:c r="T143" s="1"/>
      <x:c r="U143" s="1"/>
      <x:c r="V143" s="1"/>
      <x:c r="W143" s="1"/>
      <x:c r="X143" s="1"/>
      <x:c r="Y143" s="1"/>
      <x:c r="Z143" s="1"/>
      <x:c r="AA143" s="1"/>
      <x:c r="AB143" s="1"/>
      <x:c r="AC143" s="1"/>
      <x:c r="AD143" s="1"/>
      <x:c r="AE143" s="1"/>
    </x:row>
    <x:row r="144" ht="18" customHeight="1">
      <x:c r="A144" s="273" t="str">
        <x:f>IF(B144="","",140)</x:f>
      </x:c>
      <x:c r="B144" s="35" t="str">
        <x:f>IFERROR(INDEX('자산'!$B$5:$B$204,MATCH(140,'자산'!$Z$5:$Z$204,0)),"")</x:f>
      </x:c>
      <x:c r="C144" s="35" t="str">
        <x:f>IF($B144="","",IFERROR(INDEX('자산'!$C$5:$C$204,MATCH($B144,'자산'!$B$5:$B$204,0)),""))</x:f>
      </x:c>
      <x:c r="D144" s="273" t="str">
        <x:f>IF($B144="","",IFERROR(INDEX('자산'!$D$5:$D$204,MATCH($B144,'자산'!$B$5:$B$204,0)),""))</x:f>
      </x:c>
      <x:c r="E144" s="273" t="str">
        <x:f>IF(B144="","",IF(IF($B144="","",IFERROR(INDEX('계약'!$G$5:$G$204,MATCH($B144,'계약'!$B$5:$B$204,0)),""))&lt;&gt;"","대여중","쉬는차"))</x:f>
      </x:c>
      <x:c r="F144" s="35" t="str">
        <x:f>IF($B144="","",IFERROR(INDEX('계약'!$G$5:$G$204,MATCH($B144,'계약'!$B$5:$B$204,0)),""))</x:f>
      </x:c>
      <x:c r="G144" s="276" t="str">
        <x:f>IF($B144="","",IFERROR(INDEX('계약'!$H$5:$H$204,MATCH($B144,'계약'!$B$5:$B$204,0)),""))</x:f>
      </x:c>
      <x:c r="H144" s="276" t="str">
        <x:f>IF($B144="","",IFERROR(INDEX('계약'!$I$5:$I$204,MATCH($B144,'계약'!$B$5:$B$204,0)),""))</x:f>
      </x:c>
      <x:c r="I144" s="35" t="str">
        <x:f>IF(H144="","",IF(H144&lt;'요약'!$B$2,"만료",(YEAR(H144)-YEAR('요약'!$B$2))*12+MONTH(H144)-MONTH('요약'!$B$2)))</x:f>
      </x:c>
      <x:c r="J144" s="279" t="str">
        <x:f>IF($B144="","",IFERROR(INDEX('계약'!$K$5:$K$204,MATCH($B144,'계약'!$B$5:$B$204,0)),""))</x:f>
      </x:c>
      <x:c r="K144" s="279" t="str">
        <x:f>IF($B144="","",IFERROR(INDEX('계약'!$L$5:$L$204,MATCH($B144,'계약'!$B$5:$B$204,0)),""))</x:f>
      </x:c>
      <x:c r="L144" s="279" t="str">
        <x:f>IF($B144="","",IFERROR(INDEX('수납'!$E$5:$E$204,MATCH($B144,'수납'!$B$5:$B$204,0)),0))</x:f>
      </x:c>
      <x:c r="M144" s="35" t="str">
        <x:f>IF($B144="","",IFERROR(INDEX('수납'!$D$5:$D$204,MATCH($B144,'수납'!$B$5:$B$204,0)),0))</x:f>
      </x:c>
      <x:c r="N144" s="35" t="str">
        <x:f>IF($B144="","",IFERROR(INDEX('계약'!$M$5:$M$204,MATCH($B144,'계약'!$B$5:$B$204,0)),""))</x:f>
      </x:c>
      <x:c r="O144" s="1"/>
      <x:c r="P144" s="1"/>
      <x:c r="Q144" s="1"/>
      <x:c r="R144" s="1"/>
      <x:c r="S144" s="1"/>
      <x:c r="T144" s="1"/>
      <x:c r="U144" s="1"/>
      <x:c r="V144" s="1"/>
      <x:c r="W144" s="1"/>
      <x:c r="X144" s="1"/>
      <x:c r="Y144" s="1"/>
      <x:c r="Z144" s="1"/>
      <x:c r="AA144" s="1"/>
      <x:c r="AB144" s="1"/>
      <x:c r="AC144" s="1"/>
      <x:c r="AD144" s="1"/>
      <x:c r="AE144" s="1"/>
    </x:row>
    <x:row r="145" ht="18" customHeight="1">
      <x:c r="A145" s="273" t="str">
        <x:f>IF(B145="","",141)</x:f>
      </x:c>
      <x:c r="B145" s="35" t="str">
        <x:f>IFERROR(INDEX('자산'!$B$5:$B$204,MATCH(141,'자산'!$Z$5:$Z$204,0)),"")</x:f>
      </x:c>
      <x:c r="C145" s="35" t="str">
        <x:f>IF($B145="","",IFERROR(INDEX('자산'!$C$5:$C$204,MATCH($B145,'자산'!$B$5:$B$204,0)),""))</x:f>
      </x:c>
      <x:c r="D145" s="273" t="str">
        <x:f>IF($B145="","",IFERROR(INDEX('자산'!$D$5:$D$204,MATCH($B145,'자산'!$B$5:$B$204,0)),""))</x:f>
      </x:c>
      <x:c r="E145" s="273" t="str">
        <x:f>IF(B145="","",IF(IF($B145="","",IFERROR(INDEX('계약'!$G$5:$G$204,MATCH($B145,'계약'!$B$5:$B$204,0)),""))&lt;&gt;"","대여중","쉬는차"))</x:f>
      </x:c>
      <x:c r="F145" s="35" t="str">
        <x:f>IF($B145="","",IFERROR(INDEX('계약'!$G$5:$G$204,MATCH($B145,'계약'!$B$5:$B$204,0)),""))</x:f>
      </x:c>
      <x:c r="G145" s="276" t="str">
        <x:f>IF($B145="","",IFERROR(INDEX('계약'!$H$5:$H$204,MATCH($B145,'계약'!$B$5:$B$204,0)),""))</x:f>
      </x:c>
      <x:c r="H145" s="276" t="str">
        <x:f>IF($B145="","",IFERROR(INDEX('계약'!$I$5:$I$204,MATCH($B145,'계약'!$B$5:$B$204,0)),""))</x:f>
      </x:c>
      <x:c r="I145" s="35" t="str">
        <x:f>IF(H145="","",IF(H145&lt;'요약'!$B$2,"만료",(YEAR(H145)-YEAR('요약'!$B$2))*12+MONTH(H145)-MONTH('요약'!$B$2)))</x:f>
      </x:c>
      <x:c r="J145" s="279" t="str">
        <x:f>IF($B145="","",IFERROR(INDEX('계약'!$K$5:$K$204,MATCH($B145,'계약'!$B$5:$B$204,0)),""))</x:f>
      </x:c>
      <x:c r="K145" s="279" t="str">
        <x:f>IF($B145="","",IFERROR(INDEX('계약'!$L$5:$L$204,MATCH($B145,'계약'!$B$5:$B$204,0)),""))</x:f>
      </x:c>
      <x:c r="L145" s="279" t="str">
        <x:f>IF($B145="","",IFERROR(INDEX('수납'!$E$5:$E$204,MATCH($B145,'수납'!$B$5:$B$204,0)),0))</x:f>
      </x:c>
      <x:c r="M145" s="35" t="str">
        <x:f>IF($B145="","",IFERROR(INDEX('수납'!$D$5:$D$204,MATCH($B145,'수납'!$B$5:$B$204,0)),0))</x:f>
      </x:c>
      <x:c r="N145" s="35" t="str">
        <x:f>IF($B145="","",IFERROR(INDEX('계약'!$M$5:$M$204,MATCH($B145,'계약'!$B$5:$B$204,0)),""))</x:f>
      </x:c>
      <x:c r="O145" s="1"/>
      <x:c r="P145" s="1"/>
      <x:c r="Q145" s="1"/>
      <x:c r="R145" s="1"/>
      <x:c r="S145" s="1"/>
      <x:c r="T145" s="1"/>
      <x:c r="U145" s="1"/>
      <x:c r="V145" s="1"/>
      <x:c r="W145" s="1"/>
      <x:c r="X145" s="1"/>
      <x:c r="Y145" s="1"/>
      <x:c r="Z145" s="1"/>
      <x:c r="AA145" s="1"/>
      <x:c r="AB145" s="1"/>
      <x:c r="AC145" s="1"/>
      <x:c r="AD145" s="1"/>
      <x:c r="AE145" s="1"/>
    </x:row>
    <x:row r="146" ht="18" customHeight="1">
      <x:c r="A146" s="273" t="str">
        <x:f>IF(B146="","",142)</x:f>
      </x:c>
      <x:c r="B146" s="35" t="str">
        <x:f>IFERROR(INDEX('자산'!$B$5:$B$204,MATCH(142,'자산'!$Z$5:$Z$204,0)),"")</x:f>
      </x:c>
      <x:c r="C146" s="35" t="str">
        <x:f>IF($B146="","",IFERROR(INDEX('자산'!$C$5:$C$204,MATCH($B146,'자산'!$B$5:$B$204,0)),""))</x:f>
      </x:c>
      <x:c r="D146" s="273" t="str">
        <x:f>IF($B146="","",IFERROR(INDEX('자산'!$D$5:$D$204,MATCH($B146,'자산'!$B$5:$B$204,0)),""))</x:f>
      </x:c>
      <x:c r="E146" s="273" t="str">
        <x:f>IF(B146="","",IF(IF($B146="","",IFERROR(INDEX('계약'!$G$5:$G$204,MATCH($B146,'계약'!$B$5:$B$204,0)),""))&lt;&gt;"","대여중","쉬는차"))</x:f>
      </x:c>
      <x:c r="F146" s="35" t="str">
        <x:f>IF($B146="","",IFERROR(INDEX('계약'!$G$5:$G$204,MATCH($B146,'계약'!$B$5:$B$204,0)),""))</x:f>
      </x:c>
      <x:c r="G146" s="276" t="str">
        <x:f>IF($B146="","",IFERROR(INDEX('계약'!$H$5:$H$204,MATCH($B146,'계약'!$B$5:$B$204,0)),""))</x:f>
      </x:c>
      <x:c r="H146" s="276" t="str">
        <x:f>IF($B146="","",IFERROR(INDEX('계약'!$I$5:$I$204,MATCH($B146,'계약'!$B$5:$B$204,0)),""))</x:f>
      </x:c>
      <x:c r="I146" s="35" t="str">
        <x:f>IF(H146="","",IF(H146&lt;'요약'!$B$2,"만료",(YEAR(H146)-YEAR('요약'!$B$2))*12+MONTH(H146)-MONTH('요약'!$B$2)))</x:f>
      </x:c>
      <x:c r="J146" s="279" t="str">
        <x:f>IF($B146="","",IFERROR(INDEX('계약'!$K$5:$K$204,MATCH($B146,'계약'!$B$5:$B$204,0)),""))</x:f>
      </x:c>
      <x:c r="K146" s="279" t="str">
        <x:f>IF($B146="","",IFERROR(INDEX('계약'!$L$5:$L$204,MATCH($B146,'계약'!$B$5:$B$204,0)),""))</x:f>
      </x:c>
      <x:c r="L146" s="279" t="str">
        <x:f>IF($B146="","",IFERROR(INDEX('수납'!$E$5:$E$204,MATCH($B146,'수납'!$B$5:$B$204,0)),0))</x:f>
      </x:c>
      <x:c r="M146" s="35" t="str">
        <x:f>IF($B146="","",IFERROR(INDEX('수납'!$D$5:$D$204,MATCH($B146,'수납'!$B$5:$B$204,0)),0))</x:f>
      </x:c>
      <x:c r="N146" s="35" t="str">
        <x:f>IF($B146="","",IFERROR(INDEX('계약'!$M$5:$M$204,MATCH($B146,'계약'!$B$5:$B$204,0)),""))</x:f>
      </x:c>
      <x:c r="O146" s="1"/>
      <x:c r="P146" s="1"/>
      <x:c r="Q146" s="1"/>
      <x:c r="R146" s="1"/>
      <x:c r="S146" s="1"/>
      <x:c r="T146" s="1"/>
      <x:c r="U146" s="1"/>
      <x:c r="V146" s="1"/>
      <x:c r="W146" s="1"/>
      <x:c r="X146" s="1"/>
      <x:c r="Y146" s="1"/>
      <x:c r="Z146" s="1"/>
      <x:c r="AA146" s="1"/>
      <x:c r="AB146" s="1"/>
      <x:c r="AC146" s="1"/>
      <x:c r="AD146" s="1"/>
      <x:c r="AE146" s="1"/>
    </x:row>
    <x:row r="147" ht="18" customHeight="1">
      <x:c r="A147" s="273" t="str">
        <x:f>IF(B147="","",143)</x:f>
      </x:c>
      <x:c r="B147" s="35" t="str">
        <x:f>IFERROR(INDEX('자산'!$B$5:$B$204,MATCH(143,'자산'!$Z$5:$Z$204,0)),"")</x:f>
      </x:c>
      <x:c r="C147" s="35" t="str">
        <x:f>IF($B147="","",IFERROR(INDEX('자산'!$C$5:$C$204,MATCH($B147,'자산'!$B$5:$B$204,0)),""))</x:f>
      </x:c>
      <x:c r="D147" s="273" t="str">
        <x:f>IF($B147="","",IFERROR(INDEX('자산'!$D$5:$D$204,MATCH($B147,'자산'!$B$5:$B$204,0)),""))</x:f>
      </x:c>
      <x:c r="E147" s="273" t="str">
        <x:f>IF(B147="","",IF(IF($B147="","",IFERROR(INDEX('계약'!$G$5:$G$204,MATCH($B147,'계약'!$B$5:$B$204,0)),""))&lt;&gt;"","대여중","쉬는차"))</x:f>
      </x:c>
      <x:c r="F147" s="35" t="str">
        <x:f>IF($B147="","",IFERROR(INDEX('계약'!$G$5:$G$204,MATCH($B147,'계약'!$B$5:$B$204,0)),""))</x:f>
      </x:c>
      <x:c r="G147" s="276" t="str">
        <x:f>IF($B147="","",IFERROR(INDEX('계약'!$H$5:$H$204,MATCH($B147,'계약'!$B$5:$B$204,0)),""))</x:f>
      </x:c>
      <x:c r="H147" s="276" t="str">
        <x:f>IF($B147="","",IFERROR(INDEX('계약'!$I$5:$I$204,MATCH($B147,'계약'!$B$5:$B$204,0)),""))</x:f>
      </x:c>
      <x:c r="I147" s="35" t="str">
        <x:f>IF(H147="","",IF(H147&lt;'요약'!$B$2,"만료",(YEAR(H147)-YEAR('요약'!$B$2))*12+MONTH(H147)-MONTH('요약'!$B$2)))</x:f>
      </x:c>
      <x:c r="J147" s="279" t="str">
        <x:f>IF($B147="","",IFERROR(INDEX('계약'!$K$5:$K$204,MATCH($B147,'계약'!$B$5:$B$204,0)),""))</x:f>
      </x:c>
      <x:c r="K147" s="279" t="str">
        <x:f>IF($B147="","",IFERROR(INDEX('계약'!$L$5:$L$204,MATCH($B147,'계약'!$B$5:$B$204,0)),""))</x:f>
      </x:c>
      <x:c r="L147" s="279" t="str">
        <x:f>IF($B147="","",IFERROR(INDEX('수납'!$E$5:$E$204,MATCH($B147,'수납'!$B$5:$B$204,0)),0))</x:f>
      </x:c>
      <x:c r="M147" s="35" t="str">
        <x:f>IF($B147="","",IFERROR(INDEX('수납'!$D$5:$D$204,MATCH($B147,'수납'!$B$5:$B$204,0)),0))</x:f>
      </x:c>
      <x:c r="N147" s="35" t="str">
        <x:f>IF($B147="","",IFERROR(INDEX('계약'!$M$5:$M$204,MATCH($B147,'계약'!$B$5:$B$204,0)),""))</x:f>
      </x:c>
      <x:c r="O147" s="1"/>
      <x:c r="P147" s="1"/>
      <x:c r="Q147" s="1"/>
      <x:c r="R147" s="1"/>
      <x:c r="S147" s="1"/>
      <x:c r="T147" s="1"/>
      <x:c r="U147" s="1"/>
      <x:c r="V147" s="1"/>
      <x:c r="W147" s="1"/>
      <x:c r="X147" s="1"/>
      <x:c r="Y147" s="1"/>
      <x:c r="Z147" s="1"/>
      <x:c r="AA147" s="1"/>
      <x:c r="AB147" s="1"/>
      <x:c r="AC147" s="1"/>
      <x:c r="AD147" s="1"/>
      <x:c r="AE147" s="1"/>
    </x:row>
    <x:row r="148" ht="18" customHeight="1">
      <x:c r="A148" s="273" t="str">
        <x:f>IF(B148="","",144)</x:f>
      </x:c>
      <x:c r="B148" s="35" t="str">
        <x:f>IFERROR(INDEX('자산'!$B$5:$B$204,MATCH(144,'자산'!$Z$5:$Z$204,0)),"")</x:f>
      </x:c>
      <x:c r="C148" s="35" t="str">
        <x:f>IF($B148="","",IFERROR(INDEX('자산'!$C$5:$C$204,MATCH($B148,'자산'!$B$5:$B$204,0)),""))</x:f>
      </x:c>
      <x:c r="D148" s="273" t="str">
        <x:f>IF($B148="","",IFERROR(INDEX('자산'!$D$5:$D$204,MATCH($B148,'자산'!$B$5:$B$204,0)),""))</x:f>
      </x:c>
      <x:c r="E148" s="273" t="str">
        <x:f>IF(B148="","",IF(IF($B148="","",IFERROR(INDEX('계약'!$G$5:$G$204,MATCH($B148,'계약'!$B$5:$B$204,0)),""))&lt;&gt;"","대여중","쉬는차"))</x:f>
      </x:c>
      <x:c r="F148" s="35" t="str">
        <x:f>IF($B148="","",IFERROR(INDEX('계약'!$G$5:$G$204,MATCH($B148,'계약'!$B$5:$B$204,0)),""))</x:f>
      </x:c>
      <x:c r="G148" s="276" t="str">
        <x:f>IF($B148="","",IFERROR(INDEX('계약'!$H$5:$H$204,MATCH($B148,'계약'!$B$5:$B$204,0)),""))</x:f>
      </x:c>
      <x:c r="H148" s="276" t="str">
        <x:f>IF($B148="","",IFERROR(INDEX('계약'!$I$5:$I$204,MATCH($B148,'계약'!$B$5:$B$204,0)),""))</x:f>
      </x:c>
      <x:c r="I148" s="35" t="str">
        <x:f>IF(H148="","",IF(H148&lt;'요약'!$B$2,"만료",(YEAR(H148)-YEAR('요약'!$B$2))*12+MONTH(H148)-MONTH('요약'!$B$2)))</x:f>
      </x:c>
      <x:c r="J148" s="279" t="str">
        <x:f>IF($B148="","",IFERROR(INDEX('계약'!$K$5:$K$204,MATCH($B148,'계약'!$B$5:$B$204,0)),""))</x:f>
      </x:c>
      <x:c r="K148" s="279" t="str">
        <x:f>IF($B148="","",IFERROR(INDEX('계약'!$L$5:$L$204,MATCH($B148,'계약'!$B$5:$B$204,0)),""))</x:f>
      </x:c>
      <x:c r="L148" s="279" t="str">
        <x:f>IF($B148="","",IFERROR(INDEX('수납'!$E$5:$E$204,MATCH($B148,'수납'!$B$5:$B$204,0)),0))</x:f>
      </x:c>
      <x:c r="M148" s="35" t="str">
        <x:f>IF($B148="","",IFERROR(INDEX('수납'!$D$5:$D$204,MATCH($B148,'수납'!$B$5:$B$204,0)),0))</x:f>
      </x:c>
      <x:c r="N148" s="35" t="str">
        <x:f>IF($B148="","",IFERROR(INDEX('계약'!$M$5:$M$204,MATCH($B148,'계약'!$B$5:$B$204,0)),""))</x:f>
      </x:c>
      <x:c r="O148" s="1"/>
      <x:c r="P148" s="1"/>
      <x:c r="Q148" s="1"/>
      <x:c r="R148" s="1"/>
      <x:c r="S148" s="1"/>
      <x:c r="T148" s="1"/>
      <x:c r="U148" s="1"/>
      <x:c r="V148" s="1"/>
      <x:c r="W148" s="1"/>
      <x:c r="X148" s="1"/>
      <x:c r="Y148" s="1"/>
      <x:c r="Z148" s="1"/>
      <x:c r="AA148" s="1"/>
      <x:c r="AB148" s="1"/>
      <x:c r="AC148" s="1"/>
      <x:c r="AD148" s="1"/>
      <x:c r="AE148" s="1"/>
    </x:row>
    <x:row r="149" ht="18" customHeight="1">
      <x:c r="A149" s="273" t="str">
        <x:f>IF(B149="","",145)</x:f>
      </x:c>
      <x:c r="B149" s="35" t="str">
        <x:f>IFERROR(INDEX('자산'!$B$5:$B$204,MATCH(145,'자산'!$Z$5:$Z$204,0)),"")</x:f>
      </x:c>
      <x:c r="C149" s="35" t="str">
        <x:f>IF($B149="","",IFERROR(INDEX('자산'!$C$5:$C$204,MATCH($B149,'자산'!$B$5:$B$204,0)),""))</x:f>
      </x:c>
      <x:c r="D149" s="273" t="str">
        <x:f>IF($B149="","",IFERROR(INDEX('자산'!$D$5:$D$204,MATCH($B149,'자산'!$B$5:$B$204,0)),""))</x:f>
      </x:c>
      <x:c r="E149" s="273" t="str">
        <x:f>IF(B149="","",IF(IF($B149="","",IFERROR(INDEX('계약'!$G$5:$G$204,MATCH($B149,'계약'!$B$5:$B$204,0)),""))&lt;&gt;"","대여중","쉬는차"))</x:f>
      </x:c>
      <x:c r="F149" s="35" t="str">
        <x:f>IF($B149="","",IFERROR(INDEX('계약'!$G$5:$G$204,MATCH($B149,'계약'!$B$5:$B$204,0)),""))</x:f>
      </x:c>
      <x:c r="G149" s="276" t="str">
        <x:f>IF($B149="","",IFERROR(INDEX('계약'!$H$5:$H$204,MATCH($B149,'계약'!$B$5:$B$204,0)),""))</x:f>
      </x:c>
      <x:c r="H149" s="276" t="str">
        <x:f>IF($B149="","",IFERROR(INDEX('계약'!$I$5:$I$204,MATCH($B149,'계약'!$B$5:$B$204,0)),""))</x:f>
      </x:c>
      <x:c r="I149" s="35" t="str">
        <x:f>IF(H149="","",IF(H149&lt;'요약'!$B$2,"만료",(YEAR(H149)-YEAR('요약'!$B$2))*12+MONTH(H149)-MONTH('요약'!$B$2)))</x:f>
      </x:c>
      <x:c r="J149" s="279" t="str">
        <x:f>IF($B149="","",IFERROR(INDEX('계약'!$K$5:$K$204,MATCH($B149,'계약'!$B$5:$B$204,0)),""))</x:f>
      </x:c>
      <x:c r="K149" s="279" t="str">
        <x:f>IF($B149="","",IFERROR(INDEX('계약'!$L$5:$L$204,MATCH($B149,'계약'!$B$5:$B$204,0)),""))</x:f>
      </x:c>
      <x:c r="L149" s="279" t="str">
        <x:f>IF($B149="","",IFERROR(INDEX('수납'!$E$5:$E$204,MATCH($B149,'수납'!$B$5:$B$204,0)),0))</x:f>
      </x:c>
      <x:c r="M149" s="35" t="str">
        <x:f>IF($B149="","",IFERROR(INDEX('수납'!$D$5:$D$204,MATCH($B149,'수납'!$B$5:$B$204,0)),0))</x:f>
      </x:c>
      <x:c r="N149" s="35" t="str">
        <x:f>IF($B149="","",IFERROR(INDEX('계약'!$M$5:$M$204,MATCH($B149,'계약'!$B$5:$B$204,0)),""))</x:f>
      </x:c>
      <x:c r="O149" s="1"/>
      <x:c r="P149" s="1"/>
      <x:c r="Q149" s="1"/>
      <x:c r="R149" s="1"/>
      <x:c r="S149" s="1"/>
      <x:c r="T149" s="1"/>
      <x:c r="U149" s="1"/>
      <x:c r="V149" s="1"/>
      <x:c r="W149" s="1"/>
      <x:c r="X149" s="1"/>
      <x:c r="Y149" s="1"/>
      <x:c r="Z149" s="1"/>
      <x:c r="AA149" s="1"/>
      <x:c r="AB149" s="1"/>
      <x:c r="AC149" s="1"/>
      <x:c r="AD149" s="1"/>
      <x:c r="AE149" s="1"/>
    </x:row>
    <x:row r="150" ht="18" customHeight="1">
      <x:c r="A150" s="273" t="str">
        <x:f>IF(B150="","",146)</x:f>
      </x:c>
      <x:c r="B150" s="35" t="str">
        <x:f>IFERROR(INDEX('자산'!$B$5:$B$204,MATCH(146,'자산'!$Z$5:$Z$204,0)),"")</x:f>
      </x:c>
      <x:c r="C150" s="35" t="str">
        <x:f>IF($B150="","",IFERROR(INDEX('자산'!$C$5:$C$204,MATCH($B150,'자산'!$B$5:$B$204,0)),""))</x:f>
      </x:c>
      <x:c r="D150" s="273" t="str">
        <x:f>IF($B150="","",IFERROR(INDEX('자산'!$D$5:$D$204,MATCH($B150,'자산'!$B$5:$B$204,0)),""))</x:f>
      </x:c>
      <x:c r="E150" s="273" t="str">
        <x:f>IF(B150="","",IF(IF($B150="","",IFERROR(INDEX('계약'!$G$5:$G$204,MATCH($B150,'계약'!$B$5:$B$204,0)),""))&lt;&gt;"","대여중","쉬는차"))</x:f>
      </x:c>
      <x:c r="F150" s="35" t="str">
        <x:f>IF($B150="","",IFERROR(INDEX('계약'!$G$5:$G$204,MATCH($B150,'계약'!$B$5:$B$204,0)),""))</x:f>
      </x:c>
      <x:c r="G150" s="276" t="str">
        <x:f>IF($B150="","",IFERROR(INDEX('계약'!$H$5:$H$204,MATCH($B150,'계약'!$B$5:$B$204,0)),""))</x:f>
      </x:c>
      <x:c r="H150" s="276" t="str">
        <x:f>IF($B150="","",IFERROR(INDEX('계약'!$I$5:$I$204,MATCH($B150,'계약'!$B$5:$B$204,0)),""))</x:f>
      </x:c>
      <x:c r="I150" s="35" t="str">
        <x:f>IF(H150="","",IF(H150&lt;'요약'!$B$2,"만료",(YEAR(H150)-YEAR('요약'!$B$2))*12+MONTH(H150)-MONTH('요약'!$B$2)))</x:f>
      </x:c>
      <x:c r="J150" s="279" t="str">
        <x:f>IF($B150="","",IFERROR(INDEX('계약'!$K$5:$K$204,MATCH($B150,'계약'!$B$5:$B$204,0)),""))</x:f>
      </x:c>
      <x:c r="K150" s="279" t="str">
        <x:f>IF($B150="","",IFERROR(INDEX('계약'!$L$5:$L$204,MATCH($B150,'계약'!$B$5:$B$204,0)),""))</x:f>
      </x:c>
      <x:c r="L150" s="279" t="str">
        <x:f>IF($B150="","",IFERROR(INDEX('수납'!$E$5:$E$204,MATCH($B150,'수납'!$B$5:$B$204,0)),0))</x:f>
      </x:c>
      <x:c r="M150" s="35" t="str">
        <x:f>IF($B150="","",IFERROR(INDEX('수납'!$D$5:$D$204,MATCH($B150,'수납'!$B$5:$B$204,0)),0))</x:f>
      </x:c>
      <x:c r="N150" s="35" t="str">
        <x:f>IF($B150="","",IFERROR(INDEX('계약'!$M$5:$M$204,MATCH($B150,'계약'!$B$5:$B$204,0)),""))</x:f>
      </x:c>
      <x:c r="O150" s="1"/>
      <x:c r="P150" s="1"/>
      <x:c r="Q150" s="1"/>
      <x:c r="R150" s="1"/>
      <x:c r="S150" s="1"/>
      <x:c r="T150" s="1"/>
      <x:c r="U150" s="1"/>
      <x:c r="V150" s="1"/>
      <x:c r="W150" s="1"/>
      <x:c r="X150" s="1"/>
      <x:c r="Y150" s="1"/>
      <x:c r="Z150" s="1"/>
      <x:c r="AA150" s="1"/>
      <x:c r="AB150" s="1"/>
      <x:c r="AC150" s="1"/>
      <x:c r="AD150" s="1"/>
      <x:c r="AE150" s="1"/>
    </x:row>
    <x:row r="151" ht="18" customHeight="1">
      <x:c r="A151" s="273" t="str">
        <x:f>IF(B151="","",147)</x:f>
      </x:c>
      <x:c r="B151" s="35" t="str">
        <x:f>IFERROR(INDEX('자산'!$B$5:$B$204,MATCH(147,'자산'!$Z$5:$Z$204,0)),"")</x:f>
      </x:c>
      <x:c r="C151" s="35" t="str">
        <x:f>IF($B151="","",IFERROR(INDEX('자산'!$C$5:$C$204,MATCH($B151,'자산'!$B$5:$B$204,0)),""))</x:f>
      </x:c>
      <x:c r="D151" s="273" t="str">
        <x:f>IF($B151="","",IFERROR(INDEX('자산'!$D$5:$D$204,MATCH($B151,'자산'!$B$5:$B$204,0)),""))</x:f>
      </x:c>
      <x:c r="E151" s="273" t="str">
        <x:f>IF(B151="","",IF(IF($B151="","",IFERROR(INDEX('계약'!$G$5:$G$204,MATCH($B151,'계약'!$B$5:$B$204,0)),""))&lt;&gt;"","대여중","쉬는차"))</x:f>
      </x:c>
      <x:c r="F151" s="35" t="str">
        <x:f>IF($B151="","",IFERROR(INDEX('계약'!$G$5:$G$204,MATCH($B151,'계약'!$B$5:$B$204,0)),""))</x:f>
      </x:c>
      <x:c r="G151" s="276" t="str">
        <x:f>IF($B151="","",IFERROR(INDEX('계약'!$H$5:$H$204,MATCH($B151,'계약'!$B$5:$B$204,0)),""))</x:f>
      </x:c>
      <x:c r="H151" s="276" t="str">
        <x:f>IF($B151="","",IFERROR(INDEX('계약'!$I$5:$I$204,MATCH($B151,'계약'!$B$5:$B$204,0)),""))</x:f>
      </x:c>
      <x:c r="I151" s="35" t="str">
        <x:f>IF(H151="","",IF(H151&lt;'요약'!$B$2,"만료",(YEAR(H151)-YEAR('요약'!$B$2))*12+MONTH(H151)-MONTH('요약'!$B$2)))</x:f>
      </x:c>
      <x:c r="J151" s="279" t="str">
        <x:f>IF($B151="","",IFERROR(INDEX('계약'!$K$5:$K$204,MATCH($B151,'계약'!$B$5:$B$204,0)),""))</x:f>
      </x:c>
      <x:c r="K151" s="279" t="str">
        <x:f>IF($B151="","",IFERROR(INDEX('계약'!$L$5:$L$204,MATCH($B151,'계약'!$B$5:$B$204,0)),""))</x:f>
      </x:c>
      <x:c r="L151" s="279" t="str">
        <x:f>IF($B151="","",IFERROR(INDEX('수납'!$E$5:$E$204,MATCH($B151,'수납'!$B$5:$B$204,0)),0))</x:f>
      </x:c>
      <x:c r="M151" s="35" t="str">
        <x:f>IF($B151="","",IFERROR(INDEX('수납'!$D$5:$D$204,MATCH($B151,'수납'!$B$5:$B$204,0)),0))</x:f>
      </x:c>
      <x:c r="N151" s="35" t="str">
        <x:f>IF($B151="","",IFERROR(INDEX('계약'!$M$5:$M$204,MATCH($B151,'계약'!$B$5:$B$204,0)),""))</x:f>
      </x:c>
      <x:c r="O151" s="1"/>
      <x:c r="P151" s="1"/>
      <x:c r="Q151" s="1"/>
      <x:c r="R151" s="1"/>
      <x:c r="S151" s="1"/>
      <x:c r="T151" s="1"/>
      <x:c r="U151" s="1"/>
      <x:c r="V151" s="1"/>
      <x:c r="W151" s="1"/>
      <x:c r="X151" s="1"/>
      <x:c r="Y151" s="1"/>
      <x:c r="Z151" s="1"/>
      <x:c r="AA151" s="1"/>
      <x:c r="AB151" s="1"/>
      <x:c r="AC151" s="1"/>
      <x:c r="AD151" s="1"/>
      <x:c r="AE151" s="1"/>
    </x:row>
    <x:row r="152" ht="18" customHeight="1">
      <x:c r="A152" s="273" t="str">
        <x:f>IF(B152="","",148)</x:f>
      </x:c>
      <x:c r="B152" s="35" t="str">
        <x:f>IFERROR(INDEX('자산'!$B$5:$B$204,MATCH(148,'자산'!$Z$5:$Z$204,0)),"")</x:f>
      </x:c>
      <x:c r="C152" s="35" t="str">
        <x:f>IF($B152="","",IFERROR(INDEX('자산'!$C$5:$C$204,MATCH($B152,'자산'!$B$5:$B$204,0)),""))</x:f>
      </x:c>
      <x:c r="D152" s="273" t="str">
        <x:f>IF($B152="","",IFERROR(INDEX('자산'!$D$5:$D$204,MATCH($B152,'자산'!$B$5:$B$204,0)),""))</x:f>
      </x:c>
      <x:c r="E152" s="273" t="str">
        <x:f>IF(B152="","",IF(IF($B152="","",IFERROR(INDEX('계약'!$G$5:$G$204,MATCH($B152,'계약'!$B$5:$B$204,0)),""))&lt;&gt;"","대여중","쉬는차"))</x:f>
      </x:c>
      <x:c r="F152" s="35" t="str">
        <x:f>IF($B152="","",IFERROR(INDEX('계약'!$G$5:$G$204,MATCH($B152,'계약'!$B$5:$B$204,0)),""))</x:f>
      </x:c>
      <x:c r="G152" s="276" t="str">
        <x:f>IF($B152="","",IFERROR(INDEX('계약'!$H$5:$H$204,MATCH($B152,'계약'!$B$5:$B$204,0)),""))</x:f>
      </x:c>
      <x:c r="H152" s="276" t="str">
        <x:f>IF($B152="","",IFERROR(INDEX('계약'!$I$5:$I$204,MATCH($B152,'계약'!$B$5:$B$204,0)),""))</x:f>
      </x:c>
      <x:c r="I152" s="35" t="str">
        <x:f>IF(H152="","",IF(H152&lt;'요약'!$B$2,"만료",(YEAR(H152)-YEAR('요약'!$B$2))*12+MONTH(H152)-MONTH('요약'!$B$2)))</x:f>
      </x:c>
      <x:c r="J152" s="279" t="str">
        <x:f>IF($B152="","",IFERROR(INDEX('계약'!$K$5:$K$204,MATCH($B152,'계약'!$B$5:$B$204,0)),""))</x:f>
      </x:c>
      <x:c r="K152" s="279" t="str">
        <x:f>IF($B152="","",IFERROR(INDEX('계약'!$L$5:$L$204,MATCH($B152,'계약'!$B$5:$B$204,0)),""))</x:f>
      </x:c>
      <x:c r="L152" s="279" t="str">
        <x:f>IF($B152="","",IFERROR(INDEX('수납'!$E$5:$E$204,MATCH($B152,'수납'!$B$5:$B$204,0)),0))</x:f>
      </x:c>
      <x:c r="M152" s="35" t="str">
        <x:f>IF($B152="","",IFERROR(INDEX('수납'!$D$5:$D$204,MATCH($B152,'수납'!$B$5:$B$204,0)),0))</x:f>
      </x:c>
      <x:c r="N152" s="35" t="str">
        <x:f>IF($B152="","",IFERROR(INDEX('계약'!$M$5:$M$204,MATCH($B152,'계약'!$B$5:$B$204,0)),""))</x:f>
      </x:c>
      <x:c r="O152" s="1"/>
      <x:c r="P152" s="1"/>
      <x:c r="Q152" s="1"/>
      <x:c r="R152" s="1"/>
      <x:c r="S152" s="1"/>
      <x:c r="T152" s="1"/>
      <x:c r="U152" s="1"/>
      <x:c r="V152" s="1"/>
      <x:c r="W152" s="1"/>
      <x:c r="X152" s="1"/>
      <x:c r="Y152" s="1"/>
      <x:c r="Z152" s="1"/>
      <x:c r="AA152" s="1"/>
      <x:c r="AB152" s="1"/>
      <x:c r="AC152" s="1"/>
      <x:c r="AD152" s="1"/>
      <x:c r="AE152" s="1"/>
    </x:row>
    <x:row r="153" ht="18" customHeight="1">
      <x:c r="A153" s="273" t="str">
        <x:f>IF(B153="","",149)</x:f>
      </x:c>
      <x:c r="B153" s="35" t="str">
        <x:f>IFERROR(INDEX('자산'!$B$5:$B$204,MATCH(149,'자산'!$Z$5:$Z$204,0)),"")</x:f>
      </x:c>
      <x:c r="C153" s="35" t="str">
        <x:f>IF($B153="","",IFERROR(INDEX('자산'!$C$5:$C$204,MATCH($B153,'자산'!$B$5:$B$204,0)),""))</x:f>
      </x:c>
      <x:c r="D153" s="273" t="str">
        <x:f>IF($B153="","",IFERROR(INDEX('자산'!$D$5:$D$204,MATCH($B153,'자산'!$B$5:$B$204,0)),""))</x:f>
      </x:c>
      <x:c r="E153" s="273" t="str">
        <x:f>IF(B153="","",IF(IF($B153="","",IFERROR(INDEX('계약'!$G$5:$G$204,MATCH($B153,'계약'!$B$5:$B$204,0)),""))&lt;&gt;"","대여중","쉬는차"))</x:f>
      </x:c>
      <x:c r="F153" s="35" t="str">
        <x:f>IF($B153="","",IFERROR(INDEX('계약'!$G$5:$G$204,MATCH($B153,'계약'!$B$5:$B$204,0)),""))</x:f>
      </x:c>
      <x:c r="G153" s="276" t="str">
        <x:f>IF($B153="","",IFERROR(INDEX('계약'!$H$5:$H$204,MATCH($B153,'계약'!$B$5:$B$204,0)),""))</x:f>
      </x:c>
      <x:c r="H153" s="276" t="str">
        <x:f>IF($B153="","",IFERROR(INDEX('계약'!$I$5:$I$204,MATCH($B153,'계약'!$B$5:$B$204,0)),""))</x:f>
      </x:c>
      <x:c r="I153" s="35" t="str">
        <x:f>IF(H153="","",IF(H153&lt;'요약'!$B$2,"만료",(YEAR(H153)-YEAR('요약'!$B$2))*12+MONTH(H153)-MONTH('요약'!$B$2)))</x:f>
      </x:c>
      <x:c r="J153" s="279" t="str">
        <x:f>IF($B153="","",IFERROR(INDEX('계약'!$K$5:$K$204,MATCH($B153,'계약'!$B$5:$B$204,0)),""))</x:f>
      </x:c>
      <x:c r="K153" s="279" t="str">
        <x:f>IF($B153="","",IFERROR(INDEX('계약'!$L$5:$L$204,MATCH($B153,'계약'!$B$5:$B$204,0)),""))</x:f>
      </x:c>
      <x:c r="L153" s="279" t="str">
        <x:f>IF($B153="","",IFERROR(INDEX('수납'!$E$5:$E$204,MATCH($B153,'수납'!$B$5:$B$204,0)),0))</x:f>
      </x:c>
      <x:c r="M153" s="35" t="str">
        <x:f>IF($B153="","",IFERROR(INDEX('수납'!$D$5:$D$204,MATCH($B153,'수납'!$B$5:$B$204,0)),0))</x:f>
      </x:c>
      <x:c r="N153" s="35" t="str">
        <x:f>IF($B153="","",IFERROR(INDEX('계약'!$M$5:$M$204,MATCH($B153,'계약'!$B$5:$B$204,0)),""))</x:f>
      </x:c>
      <x:c r="O153" s="1"/>
      <x:c r="P153" s="1"/>
      <x:c r="Q153" s="1"/>
      <x:c r="R153" s="1"/>
      <x:c r="S153" s="1"/>
      <x:c r="T153" s="1"/>
      <x:c r="U153" s="1"/>
      <x:c r="V153" s="1"/>
      <x:c r="W153" s="1"/>
      <x:c r="X153" s="1"/>
      <x:c r="Y153" s="1"/>
      <x:c r="Z153" s="1"/>
      <x:c r="AA153" s="1"/>
      <x:c r="AB153" s="1"/>
      <x:c r="AC153" s="1"/>
      <x:c r="AD153" s="1"/>
      <x:c r="AE153" s="1"/>
    </x:row>
    <x:row r="154" ht="18" customHeight="1">
      <x:c r="A154" s="273" t="str">
        <x:f>IF(B154="","",150)</x:f>
      </x:c>
      <x:c r="B154" s="35" t="str">
        <x:f>IFERROR(INDEX('자산'!$B$5:$B$204,MATCH(150,'자산'!$Z$5:$Z$204,0)),"")</x:f>
      </x:c>
      <x:c r="C154" s="35" t="str">
        <x:f>IF($B154="","",IFERROR(INDEX('자산'!$C$5:$C$204,MATCH($B154,'자산'!$B$5:$B$204,0)),""))</x:f>
      </x:c>
      <x:c r="D154" s="273" t="str">
        <x:f>IF($B154="","",IFERROR(INDEX('자산'!$D$5:$D$204,MATCH($B154,'자산'!$B$5:$B$204,0)),""))</x:f>
      </x:c>
      <x:c r="E154" s="273" t="str">
        <x:f>IF(B154="","",IF(IF($B154="","",IFERROR(INDEX('계약'!$G$5:$G$204,MATCH($B154,'계약'!$B$5:$B$204,0)),""))&lt;&gt;"","대여중","쉬는차"))</x:f>
      </x:c>
      <x:c r="F154" s="35" t="str">
        <x:f>IF($B154="","",IFERROR(INDEX('계약'!$G$5:$G$204,MATCH($B154,'계약'!$B$5:$B$204,0)),""))</x:f>
      </x:c>
      <x:c r="G154" s="276" t="str">
        <x:f>IF($B154="","",IFERROR(INDEX('계약'!$H$5:$H$204,MATCH($B154,'계약'!$B$5:$B$204,0)),""))</x:f>
      </x:c>
      <x:c r="H154" s="276" t="str">
        <x:f>IF($B154="","",IFERROR(INDEX('계약'!$I$5:$I$204,MATCH($B154,'계약'!$B$5:$B$204,0)),""))</x:f>
      </x:c>
      <x:c r="I154" s="35" t="str">
        <x:f>IF(H154="","",IF(H154&lt;'요약'!$B$2,"만료",(YEAR(H154)-YEAR('요약'!$B$2))*12+MONTH(H154)-MONTH('요약'!$B$2)))</x:f>
      </x:c>
      <x:c r="J154" s="279" t="str">
        <x:f>IF($B154="","",IFERROR(INDEX('계약'!$K$5:$K$204,MATCH($B154,'계약'!$B$5:$B$204,0)),""))</x:f>
      </x:c>
      <x:c r="K154" s="279" t="str">
        <x:f>IF($B154="","",IFERROR(INDEX('계약'!$L$5:$L$204,MATCH($B154,'계약'!$B$5:$B$204,0)),""))</x:f>
      </x:c>
      <x:c r="L154" s="279" t="str">
        <x:f>IF($B154="","",IFERROR(INDEX('수납'!$E$5:$E$204,MATCH($B154,'수납'!$B$5:$B$204,0)),0))</x:f>
      </x:c>
      <x:c r="M154" s="35" t="str">
        <x:f>IF($B154="","",IFERROR(INDEX('수납'!$D$5:$D$204,MATCH($B154,'수납'!$B$5:$B$204,0)),0))</x:f>
      </x:c>
      <x:c r="N154" s="35" t="str">
        <x:f>IF($B154="","",IFERROR(INDEX('계약'!$M$5:$M$204,MATCH($B154,'계약'!$B$5:$B$204,0)),""))</x:f>
      </x:c>
      <x:c r="O154" s="1"/>
      <x:c r="P154" s="1"/>
      <x:c r="Q154" s="1"/>
      <x:c r="R154" s="1"/>
      <x:c r="S154" s="1"/>
      <x:c r="T154" s="1"/>
      <x:c r="U154" s="1"/>
      <x:c r="V154" s="1"/>
      <x:c r="W154" s="1"/>
      <x:c r="X154" s="1"/>
      <x:c r="Y154" s="1"/>
      <x:c r="Z154" s="1"/>
      <x:c r="AA154" s="1"/>
      <x:c r="AB154" s="1"/>
      <x:c r="AC154" s="1"/>
      <x:c r="AD154" s="1"/>
      <x:c r="AE154" s="1"/>
    </x:row>
    <x:row r="155" ht="18" customHeight="1">
      <x:c r="A155" s="273" t="str">
        <x:f>IF(B155="","",151)</x:f>
      </x:c>
      <x:c r="B155" s="35" t="str">
        <x:f>IFERROR(INDEX('자산'!$B$5:$B$204,MATCH(151,'자산'!$Z$5:$Z$204,0)),"")</x:f>
      </x:c>
      <x:c r="C155" s="35" t="str">
        <x:f>IF($B155="","",IFERROR(INDEX('자산'!$C$5:$C$204,MATCH($B155,'자산'!$B$5:$B$204,0)),""))</x:f>
      </x:c>
      <x:c r="D155" s="273" t="str">
        <x:f>IF($B155="","",IFERROR(INDEX('자산'!$D$5:$D$204,MATCH($B155,'자산'!$B$5:$B$204,0)),""))</x:f>
      </x:c>
      <x:c r="E155" s="273" t="str">
        <x:f>IF(B155="","",IF(IF($B155="","",IFERROR(INDEX('계약'!$G$5:$G$204,MATCH($B155,'계약'!$B$5:$B$204,0)),""))&lt;&gt;"","대여중","쉬는차"))</x:f>
      </x:c>
      <x:c r="F155" s="35" t="str">
        <x:f>IF($B155="","",IFERROR(INDEX('계약'!$G$5:$G$204,MATCH($B155,'계약'!$B$5:$B$204,0)),""))</x:f>
      </x:c>
      <x:c r="G155" s="276" t="str">
        <x:f>IF($B155="","",IFERROR(INDEX('계약'!$H$5:$H$204,MATCH($B155,'계약'!$B$5:$B$204,0)),""))</x:f>
      </x:c>
      <x:c r="H155" s="276" t="str">
        <x:f>IF($B155="","",IFERROR(INDEX('계약'!$I$5:$I$204,MATCH($B155,'계약'!$B$5:$B$204,0)),""))</x:f>
      </x:c>
      <x:c r="I155" s="35" t="str">
        <x:f>IF(H155="","",IF(H155&lt;'요약'!$B$2,"만료",(YEAR(H155)-YEAR('요약'!$B$2))*12+MONTH(H155)-MONTH('요약'!$B$2)))</x:f>
      </x:c>
      <x:c r="J155" s="279" t="str">
        <x:f>IF($B155="","",IFERROR(INDEX('계약'!$K$5:$K$204,MATCH($B155,'계약'!$B$5:$B$204,0)),""))</x:f>
      </x:c>
      <x:c r="K155" s="279" t="str">
        <x:f>IF($B155="","",IFERROR(INDEX('계약'!$L$5:$L$204,MATCH($B155,'계약'!$B$5:$B$204,0)),""))</x:f>
      </x:c>
      <x:c r="L155" s="279" t="str">
        <x:f>IF($B155="","",IFERROR(INDEX('수납'!$E$5:$E$204,MATCH($B155,'수납'!$B$5:$B$204,0)),0))</x:f>
      </x:c>
      <x:c r="M155" s="35" t="str">
        <x:f>IF($B155="","",IFERROR(INDEX('수납'!$D$5:$D$204,MATCH($B155,'수납'!$B$5:$B$204,0)),0))</x:f>
      </x:c>
      <x:c r="N155" s="35" t="str">
        <x:f>IF($B155="","",IFERROR(INDEX('계약'!$M$5:$M$204,MATCH($B155,'계약'!$B$5:$B$204,0)),""))</x:f>
      </x:c>
      <x:c r="O155" s="1"/>
      <x:c r="P155" s="1"/>
      <x:c r="Q155" s="1"/>
      <x:c r="R155" s="1"/>
      <x:c r="S155" s="1"/>
      <x:c r="T155" s="1"/>
      <x:c r="U155" s="1"/>
      <x:c r="V155" s="1"/>
      <x:c r="W155" s="1"/>
      <x:c r="X155" s="1"/>
      <x:c r="Y155" s="1"/>
      <x:c r="Z155" s="1"/>
      <x:c r="AA155" s="1"/>
      <x:c r="AB155" s="1"/>
      <x:c r="AC155" s="1"/>
      <x:c r="AD155" s="1"/>
      <x:c r="AE155" s="1"/>
    </x:row>
    <x:row r="156" ht="18" customHeight="1">
      <x:c r="A156" s="273" t="str">
        <x:f>IF(B156="","",152)</x:f>
      </x:c>
      <x:c r="B156" s="35" t="str">
        <x:f>IFERROR(INDEX('자산'!$B$5:$B$204,MATCH(152,'자산'!$Z$5:$Z$204,0)),"")</x:f>
      </x:c>
      <x:c r="C156" s="35" t="str">
        <x:f>IF($B156="","",IFERROR(INDEX('자산'!$C$5:$C$204,MATCH($B156,'자산'!$B$5:$B$204,0)),""))</x:f>
      </x:c>
      <x:c r="D156" s="273" t="str">
        <x:f>IF($B156="","",IFERROR(INDEX('자산'!$D$5:$D$204,MATCH($B156,'자산'!$B$5:$B$204,0)),""))</x:f>
      </x:c>
      <x:c r="E156" s="273" t="str">
        <x:f>IF(B156="","",IF(IF($B156="","",IFERROR(INDEX('계약'!$G$5:$G$204,MATCH($B156,'계약'!$B$5:$B$204,0)),""))&lt;&gt;"","대여중","쉬는차"))</x:f>
      </x:c>
      <x:c r="F156" s="35" t="str">
        <x:f>IF($B156="","",IFERROR(INDEX('계약'!$G$5:$G$204,MATCH($B156,'계약'!$B$5:$B$204,0)),""))</x:f>
      </x:c>
      <x:c r="G156" s="276" t="str">
        <x:f>IF($B156="","",IFERROR(INDEX('계약'!$H$5:$H$204,MATCH($B156,'계약'!$B$5:$B$204,0)),""))</x:f>
      </x:c>
      <x:c r="H156" s="276" t="str">
        <x:f>IF($B156="","",IFERROR(INDEX('계약'!$I$5:$I$204,MATCH($B156,'계약'!$B$5:$B$204,0)),""))</x:f>
      </x:c>
      <x:c r="I156" s="35" t="str">
        <x:f>IF(H156="","",IF(H156&lt;'요약'!$B$2,"만료",(YEAR(H156)-YEAR('요약'!$B$2))*12+MONTH(H156)-MONTH('요약'!$B$2)))</x:f>
      </x:c>
      <x:c r="J156" s="279" t="str">
        <x:f>IF($B156="","",IFERROR(INDEX('계약'!$K$5:$K$204,MATCH($B156,'계약'!$B$5:$B$204,0)),""))</x:f>
      </x:c>
      <x:c r="K156" s="279" t="str">
        <x:f>IF($B156="","",IFERROR(INDEX('계약'!$L$5:$L$204,MATCH($B156,'계약'!$B$5:$B$204,0)),""))</x:f>
      </x:c>
      <x:c r="L156" s="279" t="str">
        <x:f>IF($B156="","",IFERROR(INDEX('수납'!$E$5:$E$204,MATCH($B156,'수납'!$B$5:$B$204,0)),0))</x:f>
      </x:c>
      <x:c r="M156" s="35" t="str">
        <x:f>IF($B156="","",IFERROR(INDEX('수납'!$D$5:$D$204,MATCH($B156,'수납'!$B$5:$B$204,0)),0))</x:f>
      </x:c>
      <x:c r="N156" s="35" t="str">
        <x:f>IF($B156="","",IFERROR(INDEX('계약'!$M$5:$M$204,MATCH($B156,'계약'!$B$5:$B$204,0)),""))</x:f>
      </x:c>
      <x:c r="O156" s="1"/>
      <x:c r="P156" s="1"/>
      <x:c r="Q156" s="1"/>
      <x:c r="R156" s="1"/>
      <x:c r="S156" s="1"/>
      <x:c r="T156" s="1"/>
      <x:c r="U156" s="1"/>
      <x:c r="V156" s="1"/>
      <x:c r="W156" s="1"/>
      <x:c r="X156" s="1"/>
      <x:c r="Y156" s="1"/>
      <x:c r="Z156" s="1"/>
      <x:c r="AA156" s="1"/>
      <x:c r="AB156" s="1"/>
      <x:c r="AC156" s="1"/>
      <x:c r="AD156" s="1"/>
      <x:c r="AE156" s="1"/>
    </x:row>
    <x:row r="157" ht="18" customHeight="1">
      <x:c r="A157" s="273" t="str">
        <x:f>IF(B157="","",153)</x:f>
      </x:c>
      <x:c r="B157" s="35" t="str">
        <x:f>IFERROR(INDEX('자산'!$B$5:$B$204,MATCH(153,'자산'!$Z$5:$Z$204,0)),"")</x:f>
      </x:c>
      <x:c r="C157" s="35" t="str">
        <x:f>IF($B157="","",IFERROR(INDEX('자산'!$C$5:$C$204,MATCH($B157,'자산'!$B$5:$B$204,0)),""))</x:f>
      </x:c>
      <x:c r="D157" s="273" t="str">
        <x:f>IF($B157="","",IFERROR(INDEX('자산'!$D$5:$D$204,MATCH($B157,'자산'!$B$5:$B$204,0)),""))</x:f>
      </x:c>
      <x:c r="E157" s="273" t="str">
        <x:f>IF(B157="","",IF(IF($B157="","",IFERROR(INDEX('계약'!$G$5:$G$204,MATCH($B157,'계약'!$B$5:$B$204,0)),""))&lt;&gt;"","대여중","쉬는차"))</x:f>
      </x:c>
      <x:c r="F157" s="35" t="str">
        <x:f>IF($B157="","",IFERROR(INDEX('계약'!$G$5:$G$204,MATCH($B157,'계약'!$B$5:$B$204,0)),""))</x:f>
      </x:c>
      <x:c r="G157" s="276" t="str">
        <x:f>IF($B157="","",IFERROR(INDEX('계약'!$H$5:$H$204,MATCH($B157,'계약'!$B$5:$B$204,0)),""))</x:f>
      </x:c>
      <x:c r="H157" s="276" t="str">
        <x:f>IF($B157="","",IFERROR(INDEX('계약'!$I$5:$I$204,MATCH($B157,'계약'!$B$5:$B$204,0)),""))</x:f>
      </x:c>
      <x:c r="I157" s="35" t="str">
        <x:f>IF(H157="","",IF(H157&lt;'요약'!$B$2,"만료",(YEAR(H157)-YEAR('요약'!$B$2))*12+MONTH(H157)-MONTH('요약'!$B$2)))</x:f>
      </x:c>
      <x:c r="J157" s="279" t="str">
        <x:f>IF($B157="","",IFERROR(INDEX('계약'!$K$5:$K$204,MATCH($B157,'계약'!$B$5:$B$204,0)),""))</x:f>
      </x:c>
      <x:c r="K157" s="279" t="str">
        <x:f>IF($B157="","",IFERROR(INDEX('계약'!$L$5:$L$204,MATCH($B157,'계약'!$B$5:$B$204,0)),""))</x:f>
      </x:c>
      <x:c r="L157" s="279" t="str">
        <x:f>IF($B157="","",IFERROR(INDEX('수납'!$E$5:$E$204,MATCH($B157,'수납'!$B$5:$B$204,0)),0))</x:f>
      </x:c>
      <x:c r="M157" s="35" t="str">
        <x:f>IF($B157="","",IFERROR(INDEX('수납'!$D$5:$D$204,MATCH($B157,'수납'!$B$5:$B$204,0)),0))</x:f>
      </x:c>
      <x:c r="N157" s="35" t="str">
        <x:f>IF($B157="","",IFERROR(INDEX('계약'!$M$5:$M$204,MATCH($B157,'계약'!$B$5:$B$204,0)),""))</x:f>
      </x:c>
      <x:c r="O157" s="1"/>
      <x:c r="P157" s="1"/>
      <x:c r="Q157" s="1"/>
      <x:c r="R157" s="1"/>
      <x:c r="S157" s="1"/>
      <x:c r="T157" s="1"/>
      <x:c r="U157" s="1"/>
      <x:c r="V157" s="1"/>
      <x:c r="W157" s="1"/>
      <x:c r="X157" s="1"/>
      <x:c r="Y157" s="1"/>
      <x:c r="Z157" s="1"/>
      <x:c r="AA157" s="1"/>
      <x:c r="AB157" s="1"/>
      <x:c r="AC157" s="1"/>
      <x:c r="AD157" s="1"/>
      <x:c r="AE157" s="1"/>
    </x:row>
    <x:row r="158" ht="18" customHeight="1">
      <x:c r="A158" s="273" t="str">
        <x:f>IF(B158="","",154)</x:f>
      </x:c>
      <x:c r="B158" s="35" t="str">
        <x:f>IFERROR(INDEX('자산'!$B$5:$B$204,MATCH(154,'자산'!$Z$5:$Z$204,0)),"")</x:f>
      </x:c>
      <x:c r="C158" s="35" t="str">
        <x:f>IF($B158="","",IFERROR(INDEX('자산'!$C$5:$C$204,MATCH($B158,'자산'!$B$5:$B$204,0)),""))</x:f>
      </x:c>
      <x:c r="D158" s="273" t="str">
        <x:f>IF($B158="","",IFERROR(INDEX('자산'!$D$5:$D$204,MATCH($B158,'자산'!$B$5:$B$204,0)),""))</x:f>
      </x:c>
      <x:c r="E158" s="273" t="str">
        <x:f>IF(B158="","",IF(IF($B158="","",IFERROR(INDEX('계약'!$G$5:$G$204,MATCH($B158,'계약'!$B$5:$B$204,0)),""))&lt;&gt;"","대여중","쉬는차"))</x:f>
      </x:c>
      <x:c r="F158" s="35" t="str">
        <x:f>IF($B158="","",IFERROR(INDEX('계약'!$G$5:$G$204,MATCH($B158,'계약'!$B$5:$B$204,0)),""))</x:f>
      </x:c>
      <x:c r="G158" s="276" t="str">
        <x:f>IF($B158="","",IFERROR(INDEX('계약'!$H$5:$H$204,MATCH($B158,'계약'!$B$5:$B$204,0)),""))</x:f>
      </x:c>
      <x:c r="H158" s="276" t="str">
        <x:f>IF($B158="","",IFERROR(INDEX('계약'!$I$5:$I$204,MATCH($B158,'계약'!$B$5:$B$204,0)),""))</x:f>
      </x:c>
      <x:c r="I158" s="35" t="str">
        <x:f>IF(H158="","",IF(H158&lt;'요약'!$B$2,"만료",(YEAR(H158)-YEAR('요약'!$B$2))*12+MONTH(H158)-MONTH('요약'!$B$2)))</x:f>
      </x:c>
      <x:c r="J158" s="279" t="str">
        <x:f>IF($B158="","",IFERROR(INDEX('계약'!$K$5:$K$204,MATCH($B158,'계약'!$B$5:$B$204,0)),""))</x:f>
      </x:c>
      <x:c r="K158" s="279" t="str">
        <x:f>IF($B158="","",IFERROR(INDEX('계약'!$L$5:$L$204,MATCH($B158,'계약'!$B$5:$B$204,0)),""))</x:f>
      </x:c>
      <x:c r="L158" s="279" t="str">
        <x:f>IF($B158="","",IFERROR(INDEX('수납'!$E$5:$E$204,MATCH($B158,'수납'!$B$5:$B$204,0)),0))</x:f>
      </x:c>
      <x:c r="M158" s="35" t="str">
        <x:f>IF($B158="","",IFERROR(INDEX('수납'!$D$5:$D$204,MATCH($B158,'수납'!$B$5:$B$204,0)),0))</x:f>
      </x:c>
      <x:c r="N158" s="35" t="str">
        <x:f>IF($B158="","",IFERROR(INDEX('계약'!$M$5:$M$204,MATCH($B158,'계약'!$B$5:$B$204,0)),""))</x:f>
      </x:c>
      <x:c r="O158" s="1"/>
      <x:c r="P158" s="1"/>
      <x:c r="Q158" s="1"/>
      <x:c r="R158" s="1"/>
      <x:c r="S158" s="1"/>
      <x:c r="T158" s="1"/>
      <x:c r="U158" s="1"/>
      <x:c r="V158" s="1"/>
      <x:c r="W158" s="1"/>
      <x:c r="X158" s="1"/>
      <x:c r="Y158" s="1"/>
      <x:c r="Z158" s="1"/>
      <x:c r="AA158" s="1"/>
      <x:c r="AB158" s="1"/>
      <x:c r="AC158" s="1"/>
      <x:c r="AD158" s="1"/>
      <x:c r="AE158" s="1"/>
    </x:row>
    <x:row r="159" ht="18" customHeight="1">
      <x:c r="A159" s="273" t="str">
        <x:f>IF(B159="","",155)</x:f>
      </x:c>
      <x:c r="B159" s="35" t="str">
        <x:f>IFERROR(INDEX('자산'!$B$5:$B$204,MATCH(155,'자산'!$Z$5:$Z$204,0)),"")</x:f>
      </x:c>
      <x:c r="C159" s="35" t="str">
        <x:f>IF($B159="","",IFERROR(INDEX('자산'!$C$5:$C$204,MATCH($B159,'자산'!$B$5:$B$204,0)),""))</x:f>
      </x:c>
      <x:c r="D159" s="273" t="str">
        <x:f>IF($B159="","",IFERROR(INDEX('자산'!$D$5:$D$204,MATCH($B159,'자산'!$B$5:$B$204,0)),""))</x:f>
      </x:c>
      <x:c r="E159" s="273" t="str">
        <x:f>IF(B159="","",IF(IF($B159="","",IFERROR(INDEX('계약'!$G$5:$G$204,MATCH($B159,'계약'!$B$5:$B$204,0)),""))&lt;&gt;"","대여중","쉬는차"))</x:f>
      </x:c>
      <x:c r="F159" s="35" t="str">
        <x:f>IF($B159="","",IFERROR(INDEX('계약'!$G$5:$G$204,MATCH($B159,'계약'!$B$5:$B$204,0)),""))</x:f>
      </x:c>
      <x:c r="G159" s="276" t="str">
        <x:f>IF($B159="","",IFERROR(INDEX('계약'!$H$5:$H$204,MATCH($B159,'계약'!$B$5:$B$204,0)),""))</x:f>
      </x:c>
      <x:c r="H159" s="276" t="str">
        <x:f>IF($B159="","",IFERROR(INDEX('계약'!$I$5:$I$204,MATCH($B159,'계약'!$B$5:$B$204,0)),""))</x:f>
      </x:c>
      <x:c r="I159" s="35" t="str">
        <x:f>IF(H159="","",IF(H159&lt;'요약'!$B$2,"만료",(YEAR(H159)-YEAR('요약'!$B$2))*12+MONTH(H159)-MONTH('요약'!$B$2)))</x:f>
      </x:c>
      <x:c r="J159" s="279" t="str">
        <x:f>IF($B159="","",IFERROR(INDEX('계약'!$K$5:$K$204,MATCH($B159,'계약'!$B$5:$B$204,0)),""))</x:f>
      </x:c>
      <x:c r="K159" s="279" t="str">
        <x:f>IF($B159="","",IFERROR(INDEX('계약'!$L$5:$L$204,MATCH($B159,'계약'!$B$5:$B$204,0)),""))</x:f>
      </x:c>
      <x:c r="L159" s="279" t="str">
        <x:f>IF($B159="","",IFERROR(INDEX('수납'!$E$5:$E$204,MATCH($B159,'수납'!$B$5:$B$204,0)),0))</x:f>
      </x:c>
      <x:c r="M159" s="35" t="str">
        <x:f>IF($B159="","",IFERROR(INDEX('수납'!$D$5:$D$204,MATCH($B159,'수납'!$B$5:$B$204,0)),0))</x:f>
      </x:c>
      <x:c r="N159" s="35" t="str">
        <x:f>IF($B159="","",IFERROR(INDEX('계약'!$M$5:$M$204,MATCH($B159,'계약'!$B$5:$B$204,0)),""))</x:f>
      </x:c>
      <x:c r="O159" s="1"/>
      <x:c r="P159" s="1"/>
      <x:c r="Q159" s="1"/>
      <x:c r="R159" s="1"/>
      <x:c r="S159" s="1"/>
      <x:c r="T159" s="1"/>
      <x:c r="U159" s="1"/>
      <x:c r="V159" s="1"/>
      <x:c r="W159" s="1"/>
      <x:c r="X159" s="1"/>
      <x:c r="Y159" s="1"/>
      <x:c r="Z159" s="1"/>
      <x:c r="AA159" s="1"/>
      <x:c r="AB159" s="1"/>
      <x:c r="AC159" s="1"/>
      <x:c r="AD159" s="1"/>
      <x:c r="AE159" s="1"/>
    </x:row>
    <x:row r="160" ht="18" customHeight="1">
      <x:c r="A160" s="273" t="str">
        <x:f>IF(B160="","",156)</x:f>
      </x:c>
      <x:c r="B160" s="35" t="str">
        <x:f>IFERROR(INDEX('자산'!$B$5:$B$204,MATCH(156,'자산'!$Z$5:$Z$204,0)),"")</x:f>
      </x:c>
      <x:c r="C160" s="35" t="str">
        <x:f>IF($B160="","",IFERROR(INDEX('자산'!$C$5:$C$204,MATCH($B160,'자산'!$B$5:$B$204,0)),""))</x:f>
      </x:c>
      <x:c r="D160" s="273" t="str">
        <x:f>IF($B160="","",IFERROR(INDEX('자산'!$D$5:$D$204,MATCH($B160,'자산'!$B$5:$B$204,0)),""))</x:f>
      </x:c>
      <x:c r="E160" s="273" t="str">
        <x:f>IF(B160="","",IF(IF($B160="","",IFERROR(INDEX('계약'!$G$5:$G$204,MATCH($B160,'계약'!$B$5:$B$204,0)),""))&lt;&gt;"","대여중","쉬는차"))</x:f>
      </x:c>
      <x:c r="F160" s="35" t="str">
        <x:f>IF($B160="","",IFERROR(INDEX('계약'!$G$5:$G$204,MATCH($B160,'계약'!$B$5:$B$204,0)),""))</x:f>
      </x:c>
      <x:c r="G160" s="276" t="str">
        <x:f>IF($B160="","",IFERROR(INDEX('계약'!$H$5:$H$204,MATCH($B160,'계약'!$B$5:$B$204,0)),""))</x:f>
      </x:c>
      <x:c r="H160" s="276" t="str">
        <x:f>IF($B160="","",IFERROR(INDEX('계약'!$I$5:$I$204,MATCH($B160,'계약'!$B$5:$B$204,0)),""))</x:f>
      </x:c>
      <x:c r="I160" s="35" t="str">
        <x:f>IF(H160="","",IF(H160&lt;'요약'!$B$2,"만료",(YEAR(H160)-YEAR('요약'!$B$2))*12+MONTH(H160)-MONTH('요약'!$B$2)))</x:f>
      </x:c>
      <x:c r="J160" s="279" t="str">
        <x:f>IF($B160="","",IFERROR(INDEX('계약'!$K$5:$K$204,MATCH($B160,'계약'!$B$5:$B$204,0)),""))</x:f>
      </x:c>
      <x:c r="K160" s="279" t="str">
        <x:f>IF($B160="","",IFERROR(INDEX('계약'!$L$5:$L$204,MATCH($B160,'계약'!$B$5:$B$204,0)),""))</x:f>
      </x:c>
      <x:c r="L160" s="279" t="str">
        <x:f>IF($B160="","",IFERROR(INDEX('수납'!$E$5:$E$204,MATCH($B160,'수납'!$B$5:$B$204,0)),0))</x:f>
      </x:c>
      <x:c r="M160" s="35" t="str">
        <x:f>IF($B160="","",IFERROR(INDEX('수납'!$D$5:$D$204,MATCH($B160,'수납'!$B$5:$B$204,0)),0))</x:f>
      </x:c>
      <x:c r="N160" s="35" t="str">
        <x:f>IF($B160="","",IFERROR(INDEX('계약'!$M$5:$M$204,MATCH($B160,'계약'!$B$5:$B$204,0)),""))</x:f>
      </x:c>
      <x:c r="O160" s="1"/>
      <x:c r="P160" s="1"/>
      <x:c r="Q160" s="1"/>
      <x:c r="R160" s="1"/>
      <x:c r="S160" s="1"/>
      <x:c r="T160" s="1"/>
      <x:c r="U160" s="1"/>
      <x:c r="V160" s="1"/>
      <x:c r="W160" s="1"/>
      <x:c r="X160" s="1"/>
      <x:c r="Y160" s="1"/>
      <x:c r="Z160" s="1"/>
      <x:c r="AA160" s="1"/>
      <x:c r="AB160" s="1"/>
      <x:c r="AC160" s="1"/>
      <x:c r="AD160" s="1"/>
      <x:c r="AE160" s="1"/>
    </x:row>
    <x:row r="161" ht="18" customHeight="1">
      <x:c r="A161" s="273" t="str">
        <x:f>IF(B161="","",157)</x:f>
      </x:c>
      <x:c r="B161" s="35" t="str">
        <x:f>IFERROR(INDEX('자산'!$B$5:$B$204,MATCH(157,'자산'!$Z$5:$Z$204,0)),"")</x:f>
      </x:c>
      <x:c r="C161" s="35" t="str">
        <x:f>IF($B161="","",IFERROR(INDEX('자산'!$C$5:$C$204,MATCH($B161,'자산'!$B$5:$B$204,0)),""))</x:f>
      </x:c>
      <x:c r="D161" s="273" t="str">
        <x:f>IF($B161="","",IFERROR(INDEX('자산'!$D$5:$D$204,MATCH($B161,'자산'!$B$5:$B$204,0)),""))</x:f>
      </x:c>
      <x:c r="E161" s="273" t="str">
        <x:f>IF(B161="","",IF(IF($B161="","",IFERROR(INDEX('계약'!$G$5:$G$204,MATCH($B161,'계약'!$B$5:$B$204,0)),""))&lt;&gt;"","대여중","쉬는차"))</x:f>
      </x:c>
      <x:c r="F161" s="35" t="str">
        <x:f>IF($B161="","",IFERROR(INDEX('계약'!$G$5:$G$204,MATCH($B161,'계약'!$B$5:$B$204,0)),""))</x:f>
      </x:c>
      <x:c r="G161" s="276" t="str">
        <x:f>IF($B161="","",IFERROR(INDEX('계약'!$H$5:$H$204,MATCH($B161,'계약'!$B$5:$B$204,0)),""))</x:f>
      </x:c>
      <x:c r="H161" s="276" t="str">
        <x:f>IF($B161="","",IFERROR(INDEX('계약'!$I$5:$I$204,MATCH($B161,'계약'!$B$5:$B$204,0)),""))</x:f>
      </x:c>
      <x:c r="I161" s="35" t="str">
        <x:f>IF(H161="","",IF(H161&lt;'요약'!$B$2,"만료",(YEAR(H161)-YEAR('요약'!$B$2))*12+MONTH(H161)-MONTH('요약'!$B$2)))</x:f>
      </x:c>
      <x:c r="J161" s="279" t="str">
        <x:f>IF($B161="","",IFERROR(INDEX('계약'!$K$5:$K$204,MATCH($B161,'계약'!$B$5:$B$204,0)),""))</x:f>
      </x:c>
      <x:c r="K161" s="279" t="str">
        <x:f>IF($B161="","",IFERROR(INDEX('계약'!$L$5:$L$204,MATCH($B161,'계약'!$B$5:$B$204,0)),""))</x:f>
      </x:c>
      <x:c r="L161" s="279" t="str">
        <x:f>IF($B161="","",IFERROR(INDEX('수납'!$E$5:$E$204,MATCH($B161,'수납'!$B$5:$B$204,0)),0))</x:f>
      </x:c>
      <x:c r="M161" s="35" t="str">
        <x:f>IF($B161="","",IFERROR(INDEX('수납'!$D$5:$D$204,MATCH($B161,'수납'!$B$5:$B$204,0)),0))</x:f>
      </x:c>
      <x:c r="N161" s="35" t="str">
        <x:f>IF($B161="","",IFERROR(INDEX('계약'!$M$5:$M$204,MATCH($B161,'계약'!$B$5:$B$204,0)),""))</x:f>
      </x:c>
      <x:c r="O161" s="1"/>
      <x:c r="P161" s="1"/>
      <x:c r="Q161" s="1"/>
      <x:c r="R161" s="1"/>
      <x:c r="S161" s="1"/>
      <x:c r="T161" s="1"/>
      <x:c r="U161" s="1"/>
      <x:c r="V161" s="1"/>
      <x:c r="W161" s="1"/>
      <x:c r="X161" s="1"/>
      <x:c r="Y161" s="1"/>
      <x:c r="Z161" s="1"/>
      <x:c r="AA161" s="1"/>
      <x:c r="AB161" s="1"/>
      <x:c r="AC161" s="1"/>
      <x:c r="AD161" s="1"/>
      <x:c r="AE161" s="1"/>
    </x:row>
    <x:row r="162" ht="18" customHeight="1">
      <x:c r="A162" s="273" t="str">
        <x:f>IF(B162="","",158)</x:f>
      </x:c>
      <x:c r="B162" s="35" t="str">
        <x:f>IFERROR(INDEX('자산'!$B$5:$B$204,MATCH(158,'자산'!$Z$5:$Z$204,0)),"")</x:f>
      </x:c>
      <x:c r="C162" s="35" t="str">
        <x:f>IF($B162="","",IFERROR(INDEX('자산'!$C$5:$C$204,MATCH($B162,'자산'!$B$5:$B$204,0)),""))</x:f>
      </x:c>
      <x:c r="D162" s="273" t="str">
        <x:f>IF($B162="","",IFERROR(INDEX('자산'!$D$5:$D$204,MATCH($B162,'자산'!$B$5:$B$204,0)),""))</x:f>
      </x:c>
      <x:c r="E162" s="273" t="str">
        <x:f>IF(B162="","",IF(IF($B162="","",IFERROR(INDEX('계약'!$G$5:$G$204,MATCH($B162,'계약'!$B$5:$B$204,0)),""))&lt;&gt;"","대여중","쉬는차"))</x:f>
      </x:c>
      <x:c r="F162" s="35" t="str">
        <x:f>IF($B162="","",IFERROR(INDEX('계약'!$G$5:$G$204,MATCH($B162,'계약'!$B$5:$B$204,0)),""))</x:f>
      </x:c>
      <x:c r="G162" s="276" t="str">
        <x:f>IF($B162="","",IFERROR(INDEX('계약'!$H$5:$H$204,MATCH($B162,'계약'!$B$5:$B$204,0)),""))</x:f>
      </x:c>
      <x:c r="H162" s="276" t="str">
        <x:f>IF($B162="","",IFERROR(INDEX('계약'!$I$5:$I$204,MATCH($B162,'계약'!$B$5:$B$204,0)),""))</x:f>
      </x:c>
      <x:c r="I162" s="35" t="str">
        <x:f>IF(H162="","",IF(H162&lt;'요약'!$B$2,"만료",(YEAR(H162)-YEAR('요약'!$B$2))*12+MONTH(H162)-MONTH('요약'!$B$2)))</x:f>
      </x:c>
      <x:c r="J162" s="279" t="str">
        <x:f>IF($B162="","",IFERROR(INDEX('계약'!$K$5:$K$204,MATCH($B162,'계약'!$B$5:$B$204,0)),""))</x:f>
      </x:c>
      <x:c r="K162" s="279" t="str">
        <x:f>IF($B162="","",IFERROR(INDEX('계약'!$L$5:$L$204,MATCH($B162,'계약'!$B$5:$B$204,0)),""))</x:f>
      </x:c>
      <x:c r="L162" s="279" t="str">
        <x:f>IF($B162="","",IFERROR(INDEX('수납'!$E$5:$E$204,MATCH($B162,'수납'!$B$5:$B$204,0)),0))</x:f>
      </x:c>
      <x:c r="M162" s="35" t="str">
        <x:f>IF($B162="","",IFERROR(INDEX('수납'!$D$5:$D$204,MATCH($B162,'수납'!$B$5:$B$204,0)),0))</x:f>
      </x:c>
      <x:c r="N162" s="35" t="str">
        <x:f>IF($B162="","",IFERROR(INDEX('계약'!$M$5:$M$204,MATCH($B162,'계약'!$B$5:$B$204,0)),""))</x:f>
      </x:c>
      <x:c r="O162" s="1"/>
      <x:c r="P162" s="1"/>
      <x:c r="Q162" s="1"/>
      <x:c r="R162" s="1"/>
      <x:c r="S162" s="1"/>
      <x:c r="T162" s="1"/>
      <x:c r="U162" s="1"/>
      <x:c r="V162" s="1"/>
      <x:c r="W162" s="1"/>
      <x:c r="X162" s="1"/>
      <x:c r="Y162" s="1"/>
      <x:c r="Z162" s="1"/>
      <x:c r="AA162" s="1"/>
      <x:c r="AB162" s="1"/>
      <x:c r="AC162" s="1"/>
      <x:c r="AD162" s="1"/>
      <x:c r="AE162" s="1"/>
    </x:row>
    <x:row r="163" ht="18" customHeight="1">
      <x:c r="A163" s="273" t="str">
        <x:f>IF(B163="","",159)</x:f>
      </x:c>
      <x:c r="B163" s="35" t="str">
        <x:f>IFERROR(INDEX('자산'!$B$5:$B$204,MATCH(159,'자산'!$Z$5:$Z$204,0)),"")</x:f>
      </x:c>
      <x:c r="C163" s="35" t="str">
        <x:f>IF($B163="","",IFERROR(INDEX('자산'!$C$5:$C$204,MATCH($B163,'자산'!$B$5:$B$204,0)),""))</x:f>
      </x:c>
      <x:c r="D163" s="273" t="str">
        <x:f>IF($B163="","",IFERROR(INDEX('자산'!$D$5:$D$204,MATCH($B163,'자산'!$B$5:$B$204,0)),""))</x:f>
      </x:c>
      <x:c r="E163" s="273" t="str">
        <x:f>IF(B163="","",IF(IF($B163="","",IFERROR(INDEX('계약'!$G$5:$G$204,MATCH($B163,'계약'!$B$5:$B$204,0)),""))&lt;&gt;"","대여중","쉬는차"))</x:f>
      </x:c>
      <x:c r="F163" s="35" t="str">
        <x:f>IF($B163="","",IFERROR(INDEX('계약'!$G$5:$G$204,MATCH($B163,'계약'!$B$5:$B$204,0)),""))</x:f>
      </x:c>
      <x:c r="G163" s="276" t="str">
        <x:f>IF($B163="","",IFERROR(INDEX('계약'!$H$5:$H$204,MATCH($B163,'계약'!$B$5:$B$204,0)),""))</x:f>
      </x:c>
      <x:c r="H163" s="276" t="str">
        <x:f>IF($B163="","",IFERROR(INDEX('계약'!$I$5:$I$204,MATCH($B163,'계약'!$B$5:$B$204,0)),""))</x:f>
      </x:c>
      <x:c r="I163" s="35" t="str">
        <x:f>IF(H163="","",IF(H163&lt;'요약'!$B$2,"만료",(YEAR(H163)-YEAR('요약'!$B$2))*12+MONTH(H163)-MONTH('요약'!$B$2)))</x:f>
      </x:c>
      <x:c r="J163" s="279" t="str">
        <x:f>IF($B163="","",IFERROR(INDEX('계약'!$K$5:$K$204,MATCH($B163,'계약'!$B$5:$B$204,0)),""))</x:f>
      </x:c>
      <x:c r="K163" s="279" t="str">
        <x:f>IF($B163="","",IFERROR(INDEX('계약'!$L$5:$L$204,MATCH($B163,'계약'!$B$5:$B$204,0)),""))</x:f>
      </x:c>
      <x:c r="L163" s="279" t="str">
        <x:f>IF($B163="","",IFERROR(INDEX('수납'!$E$5:$E$204,MATCH($B163,'수납'!$B$5:$B$204,0)),0))</x:f>
      </x:c>
      <x:c r="M163" s="35" t="str">
        <x:f>IF($B163="","",IFERROR(INDEX('수납'!$D$5:$D$204,MATCH($B163,'수납'!$B$5:$B$204,0)),0))</x:f>
      </x:c>
      <x:c r="N163" s="35" t="str">
        <x:f>IF($B163="","",IFERROR(INDEX('계약'!$M$5:$M$204,MATCH($B163,'계약'!$B$5:$B$204,0)),""))</x:f>
      </x:c>
      <x:c r="O163" s="1"/>
      <x:c r="P163" s="1"/>
      <x:c r="Q163" s="1"/>
      <x:c r="R163" s="1"/>
      <x:c r="S163" s="1"/>
      <x:c r="T163" s="1"/>
      <x:c r="U163" s="1"/>
      <x:c r="V163" s="1"/>
      <x:c r="W163" s="1"/>
      <x:c r="X163" s="1"/>
      <x:c r="Y163" s="1"/>
      <x:c r="Z163" s="1"/>
      <x:c r="AA163" s="1"/>
      <x:c r="AB163" s="1"/>
      <x:c r="AC163" s="1"/>
      <x:c r="AD163" s="1"/>
      <x:c r="AE163" s="1"/>
    </x:row>
    <x:row r="164" ht="18" customHeight="1">
      <x:c r="A164" s="273" t="str">
        <x:f>IF(B164="","",160)</x:f>
      </x:c>
      <x:c r="B164" s="35" t="str">
        <x:f>IFERROR(INDEX('자산'!$B$5:$B$204,MATCH(160,'자산'!$Z$5:$Z$204,0)),"")</x:f>
      </x:c>
      <x:c r="C164" s="35" t="str">
        <x:f>IF($B164="","",IFERROR(INDEX('자산'!$C$5:$C$204,MATCH($B164,'자산'!$B$5:$B$204,0)),""))</x:f>
      </x:c>
      <x:c r="D164" s="273" t="str">
        <x:f>IF($B164="","",IFERROR(INDEX('자산'!$D$5:$D$204,MATCH($B164,'자산'!$B$5:$B$204,0)),""))</x:f>
      </x:c>
      <x:c r="E164" s="273" t="str">
        <x:f>IF(B164="","",IF(IF($B164="","",IFERROR(INDEX('계약'!$G$5:$G$204,MATCH($B164,'계약'!$B$5:$B$204,0)),""))&lt;&gt;"","대여중","쉬는차"))</x:f>
      </x:c>
      <x:c r="F164" s="35" t="str">
        <x:f>IF($B164="","",IFERROR(INDEX('계약'!$G$5:$G$204,MATCH($B164,'계약'!$B$5:$B$204,0)),""))</x:f>
      </x:c>
      <x:c r="G164" s="276" t="str">
        <x:f>IF($B164="","",IFERROR(INDEX('계약'!$H$5:$H$204,MATCH($B164,'계약'!$B$5:$B$204,0)),""))</x:f>
      </x:c>
      <x:c r="H164" s="276" t="str">
        <x:f>IF($B164="","",IFERROR(INDEX('계약'!$I$5:$I$204,MATCH($B164,'계약'!$B$5:$B$204,0)),""))</x:f>
      </x:c>
      <x:c r="I164" s="35" t="str">
        <x:f>IF(H164="","",IF(H164&lt;'요약'!$B$2,"만료",(YEAR(H164)-YEAR('요약'!$B$2))*12+MONTH(H164)-MONTH('요약'!$B$2)))</x:f>
      </x:c>
      <x:c r="J164" s="279" t="str">
        <x:f>IF($B164="","",IFERROR(INDEX('계약'!$K$5:$K$204,MATCH($B164,'계약'!$B$5:$B$204,0)),""))</x:f>
      </x:c>
      <x:c r="K164" s="279" t="str">
        <x:f>IF($B164="","",IFERROR(INDEX('계약'!$L$5:$L$204,MATCH($B164,'계약'!$B$5:$B$204,0)),""))</x:f>
      </x:c>
      <x:c r="L164" s="279" t="str">
        <x:f>IF($B164="","",IFERROR(INDEX('수납'!$E$5:$E$204,MATCH($B164,'수납'!$B$5:$B$204,0)),0))</x:f>
      </x:c>
      <x:c r="M164" s="35" t="str">
        <x:f>IF($B164="","",IFERROR(INDEX('수납'!$D$5:$D$204,MATCH($B164,'수납'!$B$5:$B$204,0)),0))</x:f>
      </x:c>
      <x:c r="N164" s="35" t="str">
        <x:f>IF($B164="","",IFERROR(INDEX('계약'!$M$5:$M$204,MATCH($B164,'계약'!$B$5:$B$204,0)),""))</x:f>
      </x:c>
      <x:c r="O164" s="1"/>
      <x:c r="P164" s="1"/>
      <x:c r="Q164" s="1"/>
      <x:c r="R164" s="1"/>
      <x:c r="S164" s="1"/>
      <x:c r="T164" s="1"/>
      <x:c r="U164" s="1"/>
      <x:c r="V164" s="1"/>
      <x:c r="W164" s="1"/>
      <x:c r="X164" s="1"/>
      <x:c r="Y164" s="1"/>
      <x:c r="Z164" s="1"/>
      <x:c r="AA164" s="1"/>
      <x:c r="AB164" s="1"/>
      <x:c r="AC164" s="1"/>
      <x:c r="AD164" s="1"/>
      <x:c r="AE164" s="1"/>
    </x:row>
    <x:row r="165" ht="18" customHeight="1">
      <x:c r="A165" s="273" t="str">
        <x:f>IF(B165="","",161)</x:f>
      </x:c>
      <x:c r="B165" s="35" t="str">
        <x:f>IFERROR(INDEX('자산'!$B$5:$B$204,MATCH(161,'자산'!$Z$5:$Z$204,0)),"")</x:f>
      </x:c>
      <x:c r="C165" s="35" t="str">
        <x:f>IF($B165="","",IFERROR(INDEX('자산'!$C$5:$C$204,MATCH($B165,'자산'!$B$5:$B$204,0)),""))</x:f>
      </x:c>
      <x:c r="D165" s="273" t="str">
        <x:f>IF($B165="","",IFERROR(INDEX('자산'!$D$5:$D$204,MATCH($B165,'자산'!$B$5:$B$204,0)),""))</x:f>
      </x:c>
      <x:c r="E165" s="273" t="str">
        <x:f>IF(B165="","",IF(IF($B165="","",IFERROR(INDEX('계약'!$G$5:$G$204,MATCH($B165,'계약'!$B$5:$B$204,0)),""))&lt;&gt;"","대여중","쉬는차"))</x:f>
      </x:c>
      <x:c r="F165" s="35" t="str">
        <x:f>IF($B165="","",IFERROR(INDEX('계약'!$G$5:$G$204,MATCH($B165,'계약'!$B$5:$B$204,0)),""))</x:f>
      </x:c>
      <x:c r="G165" s="276" t="str">
        <x:f>IF($B165="","",IFERROR(INDEX('계약'!$H$5:$H$204,MATCH($B165,'계약'!$B$5:$B$204,0)),""))</x:f>
      </x:c>
      <x:c r="H165" s="276" t="str">
        <x:f>IF($B165="","",IFERROR(INDEX('계약'!$I$5:$I$204,MATCH($B165,'계약'!$B$5:$B$204,0)),""))</x:f>
      </x:c>
      <x:c r="I165" s="35" t="str">
        <x:f>IF(H165="","",IF(H165&lt;'요약'!$B$2,"만료",(YEAR(H165)-YEAR('요약'!$B$2))*12+MONTH(H165)-MONTH('요약'!$B$2)))</x:f>
      </x:c>
      <x:c r="J165" s="279" t="str">
        <x:f>IF($B165="","",IFERROR(INDEX('계약'!$K$5:$K$204,MATCH($B165,'계약'!$B$5:$B$204,0)),""))</x:f>
      </x:c>
      <x:c r="K165" s="279" t="str">
        <x:f>IF($B165="","",IFERROR(INDEX('계약'!$L$5:$L$204,MATCH($B165,'계약'!$B$5:$B$204,0)),""))</x:f>
      </x:c>
      <x:c r="L165" s="279" t="str">
        <x:f>IF($B165="","",IFERROR(INDEX('수납'!$E$5:$E$204,MATCH($B165,'수납'!$B$5:$B$204,0)),0))</x:f>
      </x:c>
      <x:c r="M165" s="35" t="str">
        <x:f>IF($B165="","",IFERROR(INDEX('수납'!$D$5:$D$204,MATCH($B165,'수납'!$B$5:$B$204,0)),0))</x:f>
      </x:c>
      <x:c r="N165" s="35" t="str">
        <x:f>IF($B165="","",IFERROR(INDEX('계약'!$M$5:$M$204,MATCH($B165,'계약'!$B$5:$B$204,0)),""))</x:f>
      </x:c>
      <x:c r="O165" s="1"/>
      <x:c r="P165" s="1"/>
      <x:c r="Q165" s="1"/>
      <x:c r="R165" s="1"/>
      <x:c r="S165" s="1"/>
      <x:c r="T165" s="1"/>
      <x:c r="U165" s="1"/>
      <x:c r="V165" s="1"/>
      <x:c r="W165" s="1"/>
      <x:c r="X165" s="1"/>
      <x:c r="Y165" s="1"/>
      <x:c r="Z165" s="1"/>
      <x:c r="AA165" s="1"/>
      <x:c r="AB165" s="1"/>
      <x:c r="AC165" s="1"/>
      <x:c r="AD165" s="1"/>
      <x:c r="AE165" s="1"/>
    </x:row>
    <x:row r="166" ht="18" customHeight="1">
      <x:c r="A166" s="273" t="str">
        <x:f>IF(B166="","",162)</x:f>
      </x:c>
      <x:c r="B166" s="35" t="str">
        <x:f>IFERROR(INDEX('자산'!$B$5:$B$204,MATCH(162,'자산'!$Z$5:$Z$204,0)),"")</x:f>
      </x:c>
      <x:c r="C166" s="35" t="str">
        <x:f>IF($B166="","",IFERROR(INDEX('자산'!$C$5:$C$204,MATCH($B166,'자산'!$B$5:$B$204,0)),""))</x:f>
      </x:c>
      <x:c r="D166" s="273" t="str">
        <x:f>IF($B166="","",IFERROR(INDEX('자산'!$D$5:$D$204,MATCH($B166,'자산'!$B$5:$B$204,0)),""))</x:f>
      </x:c>
      <x:c r="E166" s="273" t="str">
        <x:f>IF(B166="","",IF(IF($B166="","",IFERROR(INDEX('계약'!$G$5:$G$204,MATCH($B166,'계약'!$B$5:$B$204,0)),""))&lt;&gt;"","대여중","쉬는차"))</x:f>
      </x:c>
      <x:c r="F166" s="35" t="str">
        <x:f>IF($B166="","",IFERROR(INDEX('계약'!$G$5:$G$204,MATCH($B166,'계약'!$B$5:$B$204,0)),""))</x:f>
      </x:c>
      <x:c r="G166" s="276" t="str">
        <x:f>IF($B166="","",IFERROR(INDEX('계약'!$H$5:$H$204,MATCH($B166,'계약'!$B$5:$B$204,0)),""))</x:f>
      </x:c>
      <x:c r="H166" s="276" t="str">
        <x:f>IF($B166="","",IFERROR(INDEX('계약'!$I$5:$I$204,MATCH($B166,'계약'!$B$5:$B$204,0)),""))</x:f>
      </x:c>
      <x:c r="I166" s="35" t="str">
        <x:f>IF(H166="","",IF(H166&lt;'요약'!$B$2,"만료",(YEAR(H166)-YEAR('요약'!$B$2))*12+MONTH(H166)-MONTH('요약'!$B$2)))</x:f>
      </x:c>
      <x:c r="J166" s="279" t="str">
        <x:f>IF($B166="","",IFERROR(INDEX('계약'!$K$5:$K$204,MATCH($B166,'계약'!$B$5:$B$204,0)),""))</x:f>
      </x:c>
      <x:c r="K166" s="279" t="str">
        <x:f>IF($B166="","",IFERROR(INDEX('계약'!$L$5:$L$204,MATCH($B166,'계약'!$B$5:$B$204,0)),""))</x:f>
      </x:c>
      <x:c r="L166" s="279" t="str">
        <x:f>IF($B166="","",IFERROR(INDEX('수납'!$E$5:$E$204,MATCH($B166,'수납'!$B$5:$B$204,0)),0))</x:f>
      </x:c>
      <x:c r="M166" s="35" t="str">
        <x:f>IF($B166="","",IFERROR(INDEX('수납'!$D$5:$D$204,MATCH($B166,'수납'!$B$5:$B$204,0)),0))</x:f>
      </x:c>
      <x:c r="N166" s="35" t="str">
        <x:f>IF($B166="","",IFERROR(INDEX('계약'!$M$5:$M$204,MATCH($B166,'계약'!$B$5:$B$204,0)),""))</x:f>
      </x:c>
      <x:c r="O166" s="1"/>
      <x:c r="P166" s="1"/>
      <x:c r="Q166" s="1"/>
      <x:c r="R166" s="1"/>
      <x:c r="S166" s="1"/>
      <x:c r="T166" s="1"/>
      <x:c r="U166" s="1"/>
      <x:c r="V166" s="1"/>
      <x:c r="W166" s="1"/>
      <x:c r="X166" s="1"/>
      <x:c r="Y166" s="1"/>
      <x:c r="Z166" s="1"/>
      <x:c r="AA166" s="1"/>
      <x:c r="AB166" s="1"/>
      <x:c r="AC166" s="1"/>
      <x:c r="AD166" s="1"/>
      <x:c r="AE166" s="1"/>
    </x:row>
    <x:row r="167" ht="18" customHeight="1">
      <x:c r="A167" s="273" t="str">
        <x:f>IF(B167="","",163)</x:f>
      </x:c>
      <x:c r="B167" s="35" t="str">
        <x:f>IFERROR(INDEX('자산'!$B$5:$B$204,MATCH(163,'자산'!$Z$5:$Z$204,0)),"")</x:f>
      </x:c>
      <x:c r="C167" s="35" t="str">
        <x:f>IF($B167="","",IFERROR(INDEX('자산'!$C$5:$C$204,MATCH($B167,'자산'!$B$5:$B$204,0)),""))</x:f>
      </x:c>
      <x:c r="D167" s="273" t="str">
        <x:f>IF($B167="","",IFERROR(INDEX('자산'!$D$5:$D$204,MATCH($B167,'자산'!$B$5:$B$204,0)),""))</x:f>
      </x:c>
      <x:c r="E167" s="273" t="str">
        <x:f>IF(B167="","",IF(IF($B167="","",IFERROR(INDEX('계약'!$G$5:$G$204,MATCH($B167,'계약'!$B$5:$B$204,0)),""))&lt;&gt;"","대여중","쉬는차"))</x:f>
      </x:c>
      <x:c r="F167" s="35" t="str">
        <x:f>IF($B167="","",IFERROR(INDEX('계약'!$G$5:$G$204,MATCH($B167,'계약'!$B$5:$B$204,0)),""))</x:f>
      </x:c>
      <x:c r="G167" s="276" t="str">
        <x:f>IF($B167="","",IFERROR(INDEX('계약'!$H$5:$H$204,MATCH($B167,'계약'!$B$5:$B$204,0)),""))</x:f>
      </x:c>
      <x:c r="H167" s="276" t="str">
        <x:f>IF($B167="","",IFERROR(INDEX('계약'!$I$5:$I$204,MATCH($B167,'계약'!$B$5:$B$204,0)),""))</x:f>
      </x:c>
      <x:c r="I167" s="35" t="str">
        <x:f>IF(H167="","",IF(H167&lt;'요약'!$B$2,"만료",(YEAR(H167)-YEAR('요약'!$B$2))*12+MONTH(H167)-MONTH('요약'!$B$2)))</x:f>
      </x:c>
      <x:c r="J167" s="279" t="str">
        <x:f>IF($B167="","",IFERROR(INDEX('계약'!$K$5:$K$204,MATCH($B167,'계약'!$B$5:$B$204,0)),""))</x:f>
      </x:c>
      <x:c r="K167" s="279" t="str">
        <x:f>IF($B167="","",IFERROR(INDEX('계약'!$L$5:$L$204,MATCH($B167,'계약'!$B$5:$B$204,0)),""))</x:f>
      </x:c>
      <x:c r="L167" s="279" t="str">
        <x:f>IF($B167="","",IFERROR(INDEX('수납'!$E$5:$E$204,MATCH($B167,'수납'!$B$5:$B$204,0)),0))</x:f>
      </x:c>
      <x:c r="M167" s="35" t="str">
        <x:f>IF($B167="","",IFERROR(INDEX('수납'!$D$5:$D$204,MATCH($B167,'수납'!$B$5:$B$204,0)),0))</x:f>
      </x:c>
      <x:c r="N167" s="35" t="str">
        <x:f>IF($B167="","",IFERROR(INDEX('계약'!$M$5:$M$204,MATCH($B167,'계약'!$B$5:$B$204,0)),""))</x:f>
      </x:c>
      <x:c r="O167" s="1"/>
      <x:c r="P167" s="1"/>
      <x:c r="Q167" s="1"/>
      <x:c r="R167" s="1"/>
      <x:c r="S167" s="1"/>
      <x:c r="T167" s="1"/>
      <x:c r="U167" s="1"/>
      <x:c r="V167" s="1"/>
      <x:c r="W167" s="1"/>
      <x:c r="X167" s="1"/>
      <x:c r="Y167" s="1"/>
      <x:c r="Z167" s="1"/>
      <x:c r="AA167" s="1"/>
      <x:c r="AB167" s="1"/>
      <x:c r="AC167" s="1"/>
      <x:c r="AD167" s="1"/>
      <x:c r="AE167" s="1"/>
    </x:row>
    <x:row r="168" ht="18" customHeight="1">
      <x:c r="A168" s="273" t="str">
        <x:f>IF(B168="","",164)</x:f>
      </x:c>
      <x:c r="B168" s="35" t="str">
        <x:f>IFERROR(INDEX('자산'!$B$5:$B$204,MATCH(164,'자산'!$Z$5:$Z$204,0)),"")</x:f>
      </x:c>
      <x:c r="C168" s="35" t="str">
        <x:f>IF($B168="","",IFERROR(INDEX('자산'!$C$5:$C$204,MATCH($B168,'자산'!$B$5:$B$204,0)),""))</x:f>
      </x:c>
      <x:c r="D168" s="273" t="str">
        <x:f>IF($B168="","",IFERROR(INDEX('자산'!$D$5:$D$204,MATCH($B168,'자산'!$B$5:$B$204,0)),""))</x:f>
      </x:c>
      <x:c r="E168" s="273" t="str">
        <x:f>IF(B168="","",IF(IF($B168="","",IFERROR(INDEX('계약'!$G$5:$G$204,MATCH($B168,'계약'!$B$5:$B$204,0)),""))&lt;&gt;"","대여중","쉬는차"))</x:f>
      </x:c>
      <x:c r="F168" s="35" t="str">
        <x:f>IF($B168="","",IFERROR(INDEX('계약'!$G$5:$G$204,MATCH($B168,'계약'!$B$5:$B$204,0)),""))</x:f>
      </x:c>
      <x:c r="G168" s="276" t="str">
        <x:f>IF($B168="","",IFERROR(INDEX('계약'!$H$5:$H$204,MATCH($B168,'계약'!$B$5:$B$204,0)),""))</x:f>
      </x:c>
      <x:c r="H168" s="276" t="str">
        <x:f>IF($B168="","",IFERROR(INDEX('계약'!$I$5:$I$204,MATCH($B168,'계약'!$B$5:$B$204,0)),""))</x:f>
      </x:c>
      <x:c r="I168" s="35" t="str">
        <x:f>IF(H168="","",IF(H168&lt;'요약'!$B$2,"만료",(YEAR(H168)-YEAR('요약'!$B$2))*12+MONTH(H168)-MONTH('요약'!$B$2)))</x:f>
      </x:c>
      <x:c r="J168" s="279" t="str">
        <x:f>IF($B168="","",IFERROR(INDEX('계약'!$K$5:$K$204,MATCH($B168,'계약'!$B$5:$B$204,0)),""))</x:f>
      </x:c>
      <x:c r="K168" s="279" t="str">
        <x:f>IF($B168="","",IFERROR(INDEX('계약'!$L$5:$L$204,MATCH($B168,'계약'!$B$5:$B$204,0)),""))</x:f>
      </x:c>
      <x:c r="L168" s="279" t="str">
        <x:f>IF($B168="","",IFERROR(INDEX('수납'!$E$5:$E$204,MATCH($B168,'수납'!$B$5:$B$204,0)),0))</x:f>
      </x:c>
      <x:c r="M168" s="35" t="str">
        <x:f>IF($B168="","",IFERROR(INDEX('수납'!$D$5:$D$204,MATCH($B168,'수납'!$B$5:$B$204,0)),0))</x:f>
      </x:c>
      <x:c r="N168" s="35" t="str">
        <x:f>IF($B168="","",IFERROR(INDEX('계약'!$M$5:$M$204,MATCH($B168,'계약'!$B$5:$B$204,0)),""))</x:f>
      </x:c>
      <x:c r="O168" s="1"/>
      <x:c r="P168" s="1"/>
      <x:c r="Q168" s="1"/>
      <x:c r="R168" s="1"/>
      <x:c r="S168" s="1"/>
      <x:c r="T168" s="1"/>
      <x:c r="U168" s="1"/>
      <x:c r="V168" s="1"/>
      <x:c r="W168" s="1"/>
      <x:c r="X168" s="1"/>
      <x:c r="Y168" s="1"/>
      <x:c r="Z168" s="1"/>
      <x:c r="AA168" s="1"/>
      <x:c r="AB168" s="1"/>
      <x:c r="AC168" s="1"/>
      <x:c r="AD168" s="1"/>
      <x:c r="AE168" s="1"/>
    </x:row>
    <x:row r="169" ht="18" customHeight="1">
      <x:c r="A169" s="273" t="str">
        <x:f>IF(B169="","",165)</x:f>
      </x:c>
      <x:c r="B169" s="35" t="str">
        <x:f>IFERROR(INDEX('자산'!$B$5:$B$204,MATCH(165,'자산'!$Z$5:$Z$204,0)),"")</x:f>
      </x:c>
      <x:c r="C169" s="35" t="str">
        <x:f>IF($B169="","",IFERROR(INDEX('자산'!$C$5:$C$204,MATCH($B169,'자산'!$B$5:$B$204,0)),""))</x:f>
      </x:c>
      <x:c r="D169" s="273" t="str">
        <x:f>IF($B169="","",IFERROR(INDEX('자산'!$D$5:$D$204,MATCH($B169,'자산'!$B$5:$B$204,0)),""))</x:f>
      </x:c>
      <x:c r="E169" s="273" t="str">
        <x:f>IF(B169="","",IF(IF($B169="","",IFERROR(INDEX('계약'!$G$5:$G$204,MATCH($B169,'계약'!$B$5:$B$204,0)),""))&lt;&gt;"","대여중","쉬는차"))</x:f>
      </x:c>
      <x:c r="F169" s="35" t="str">
        <x:f>IF($B169="","",IFERROR(INDEX('계약'!$G$5:$G$204,MATCH($B169,'계약'!$B$5:$B$204,0)),""))</x:f>
      </x:c>
      <x:c r="G169" s="276" t="str">
        <x:f>IF($B169="","",IFERROR(INDEX('계약'!$H$5:$H$204,MATCH($B169,'계약'!$B$5:$B$204,0)),""))</x:f>
      </x:c>
      <x:c r="H169" s="276" t="str">
        <x:f>IF($B169="","",IFERROR(INDEX('계약'!$I$5:$I$204,MATCH($B169,'계약'!$B$5:$B$204,0)),""))</x:f>
      </x:c>
      <x:c r="I169" s="35" t="str">
        <x:f>IF(H169="","",IF(H169&lt;'요약'!$B$2,"만료",(YEAR(H169)-YEAR('요약'!$B$2))*12+MONTH(H169)-MONTH('요약'!$B$2)))</x:f>
      </x:c>
      <x:c r="J169" s="279" t="str">
        <x:f>IF($B169="","",IFERROR(INDEX('계약'!$K$5:$K$204,MATCH($B169,'계약'!$B$5:$B$204,0)),""))</x:f>
      </x:c>
      <x:c r="K169" s="279" t="str">
        <x:f>IF($B169="","",IFERROR(INDEX('계약'!$L$5:$L$204,MATCH($B169,'계약'!$B$5:$B$204,0)),""))</x:f>
      </x:c>
      <x:c r="L169" s="279" t="str">
        <x:f>IF($B169="","",IFERROR(INDEX('수납'!$E$5:$E$204,MATCH($B169,'수납'!$B$5:$B$204,0)),0))</x:f>
      </x:c>
      <x:c r="M169" s="35" t="str">
        <x:f>IF($B169="","",IFERROR(INDEX('수납'!$D$5:$D$204,MATCH($B169,'수납'!$B$5:$B$204,0)),0))</x:f>
      </x:c>
      <x:c r="N169" s="35" t="str">
        <x:f>IF($B169="","",IFERROR(INDEX('계약'!$M$5:$M$204,MATCH($B169,'계약'!$B$5:$B$204,0)),""))</x:f>
      </x:c>
      <x:c r="O169" s="1"/>
      <x:c r="P169" s="1"/>
      <x:c r="Q169" s="1"/>
      <x:c r="R169" s="1"/>
      <x:c r="S169" s="1"/>
      <x:c r="T169" s="1"/>
      <x:c r="U169" s="1"/>
      <x:c r="V169" s="1"/>
      <x:c r="W169" s="1"/>
      <x:c r="X169" s="1"/>
      <x:c r="Y169" s="1"/>
      <x:c r="Z169" s="1"/>
      <x:c r="AA169" s="1"/>
      <x:c r="AB169" s="1"/>
      <x:c r="AC169" s="1"/>
      <x:c r="AD169" s="1"/>
      <x:c r="AE169" s="1"/>
    </x:row>
    <x:row r="170" ht="18" customHeight="1">
      <x:c r="A170" s="273" t="str">
        <x:f>IF(B170="","",166)</x:f>
      </x:c>
      <x:c r="B170" s="35" t="str">
        <x:f>IFERROR(INDEX('자산'!$B$5:$B$204,MATCH(166,'자산'!$Z$5:$Z$204,0)),"")</x:f>
      </x:c>
      <x:c r="C170" s="35" t="str">
        <x:f>IF($B170="","",IFERROR(INDEX('자산'!$C$5:$C$204,MATCH($B170,'자산'!$B$5:$B$204,0)),""))</x:f>
      </x:c>
      <x:c r="D170" s="273" t="str">
        <x:f>IF($B170="","",IFERROR(INDEX('자산'!$D$5:$D$204,MATCH($B170,'자산'!$B$5:$B$204,0)),""))</x:f>
      </x:c>
      <x:c r="E170" s="273" t="str">
        <x:f>IF(B170="","",IF(IF($B170="","",IFERROR(INDEX('계약'!$G$5:$G$204,MATCH($B170,'계약'!$B$5:$B$204,0)),""))&lt;&gt;"","대여중","쉬는차"))</x:f>
      </x:c>
      <x:c r="F170" s="35" t="str">
        <x:f>IF($B170="","",IFERROR(INDEX('계약'!$G$5:$G$204,MATCH($B170,'계약'!$B$5:$B$204,0)),""))</x:f>
      </x:c>
      <x:c r="G170" s="276" t="str">
        <x:f>IF($B170="","",IFERROR(INDEX('계약'!$H$5:$H$204,MATCH($B170,'계약'!$B$5:$B$204,0)),""))</x:f>
      </x:c>
      <x:c r="H170" s="276" t="str">
        <x:f>IF($B170="","",IFERROR(INDEX('계약'!$I$5:$I$204,MATCH($B170,'계약'!$B$5:$B$204,0)),""))</x:f>
      </x:c>
      <x:c r="I170" s="35" t="str">
        <x:f>IF(H170="","",IF(H170&lt;'요약'!$B$2,"만료",(YEAR(H170)-YEAR('요약'!$B$2))*12+MONTH(H170)-MONTH('요약'!$B$2)))</x:f>
      </x:c>
      <x:c r="J170" s="279" t="str">
        <x:f>IF($B170="","",IFERROR(INDEX('계약'!$K$5:$K$204,MATCH($B170,'계약'!$B$5:$B$204,0)),""))</x:f>
      </x:c>
      <x:c r="K170" s="279" t="str">
        <x:f>IF($B170="","",IFERROR(INDEX('계약'!$L$5:$L$204,MATCH($B170,'계약'!$B$5:$B$204,0)),""))</x:f>
      </x:c>
      <x:c r="L170" s="279" t="str">
        <x:f>IF($B170="","",IFERROR(INDEX('수납'!$E$5:$E$204,MATCH($B170,'수납'!$B$5:$B$204,0)),0))</x:f>
      </x:c>
      <x:c r="M170" s="35" t="str">
        <x:f>IF($B170="","",IFERROR(INDEX('수납'!$D$5:$D$204,MATCH($B170,'수납'!$B$5:$B$204,0)),0))</x:f>
      </x:c>
      <x:c r="N170" s="35" t="str">
        <x:f>IF($B170="","",IFERROR(INDEX('계약'!$M$5:$M$204,MATCH($B170,'계약'!$B$5:$B$204,0)),""))</x:f>
      </x:c>
      <x:c r="O170" s="1"/>
      <x:c r="P170" s="1"/>
      <x:c r="Q170" s="1"/>
      <x:c r="R170" s="1"/>
      <x:c r="S170" s="1"/>
      <x:c r="T170" s="1"/>
      <x:c r="U170" s="1"/>
      <x:c r="V170" s="1"/>
      <x:c r="W170" s="1"/>
      <x:c r="X170" s="1"/>
      <x:c r="Y170" s="1"/>
      <x:c r="Z170" s="1"/>
      <x:c r="AA170" s="1"/>
      <x:c r="AB170" s="1"/>
      <x:c r="AC170" s="1"/>
      <x:c r="AD170" s="1"/>
      <x:c r="AE170" s="1"/>
    </x:row>
    <x:row r="171" ht="18" customHeight="1">
      <x:c r="A171" s="273" t="str">
        <x:f>IF(B171="","",167)</x:f>
      </x:c>
      <x:c r="B171" s="35" t="str">
        <x:f>IFERROR(INDEX('자산'!$B$5:$B$204,MATCH(167,'자산'!$Z$5:$Z$204,0)),"")</x:f>
      </x:c>
      <x:c r="C171" s="35" t="str">
        <x:f>IF($B171="","",IFERROR(INDEX('자산'!$C$5:$C$204,MATCH($B171,'자산'!$B$5:$B$204,0)),""))</x:f>
      </x:c>
      <x:c r="D171" s="273" t="str">
        <x:f>IF($B171="","",IFERROR(INDEX('자산'!$D$5:$D$204,MATCH($B171,'자산'!$B$5:$B$204,0)),""))</x:f>
      </x:c>
      <x:c r="E171" s="273" t="str">
        <x:f>IF(B171="","",IF(IF($B171="","",IFERROR(INDEX('계약'!$G$5:$G$204,MATCH($B171,'계약'!$B$5:$B$204,0)),""))&lt;&gt;"","대여중","쉬는차"))</x:f>
      </x:c>
      <x:c r="F171" s="35" t="str">
        <x:f>IF($B171="","",IFERROR(INDEX('계약'!$G$5:$G$204,MATCH($B171,'계약'!$B$5:$B$204,0)),""))</x:f>
      </x:c>
      <x:c r="G171" s="276" t="str">
        <x:f>IF($B171="","",IFERROR(INDEX('계약'!$H$5:$H$204,MATCH($B171,'계약'!$B$5:$B$204,0)),""))</x:f>
      </x:c>
      <x:c r="H171" s="276" t="str">
        <x:f>IF($B171="","",IFERROR(INDEX('계약'!$I$5:$I$204,MATCH($B171,'계약'!$B$5:$B$204,0)),""))</x:f>
      </x:c>
      <x:c r="I171" s="35" t="str">
        <x:f>IF(H171="","",IF(H171&lt;'요약'!$B$2,"만료",(YEAR(H171)-YEAR('요약'!$B$2))*12+MONTH(H171)-MONTH('요약'!$B$2)))</x:f>
      </x:c>
      <x:c r="J171" s="279" t="str">
        <x:f>IF($B171="","",IFERROR(INDEX('계약'!$K$5:$K$204,MATCH($B171,'계약'!$B$5:$B$204,0)),""))</x:f>
      </x:c>
      <x:c r="K171" s="279" t="str">
        <x:f>IF($B171="","",IFERROR(INDEX('계약'!$L$5:$L$204,MATCH($B171,'계약'!$B$5:$B$204,0)),""))</x:f>
      </x:c>
      <x:c r="L171" s="279" t="str">
        <x:f>IF($B171="","",IFERROR(INDEX('수납'!$E$5:$E$204,MATCH($B171,'수납'!$B$5:$B$204,0)),0))</x:f>
      </x:c>
      <x:c r="M171" s="35" t="str">
        <x:f>IF($B171="","",IFERROR(INDEX('수납'!$D$5:$D$204,MATCH($B171,'수납'!$B$5:$B$204,0)),0))</x:f>
      </x:c>
      <x:c r="N171" s="35" t="str">
        <x:f>IF($B171="","",IFERROR(INDEX('계약'!$M$5:$M$204,MATCH($B171,'계약'!$B$5:$B$204,0)),""))</x:f>
      </x:c>
      <x:c r="O171" s="1"/>
      <x:c r="P171" s="1"/>
      <x:c r="Q171" s="1"/>
      <x:c r="R171" s="1"/>
      <x:c r="S171" s="1"/>
      <x:c r="T171" s="1"/>
      <x:c r="U171" s="1"/>
      <x:c r="V171" s="1"/>
      <x:c r="W171" s="1"/>
      <x:c r="X171" s="1"/>
      <x:c r="Y171" s="1"/>
      <x:c r="Z171" s="1"/>
      <x:c r="AA171" s="1"/>
      <x:c r="AB171" s="1"/>
      <x:c r="AC171" s="1"/>
      <x:c r="AD171" s="1"/>
      <x:c r="AE171" s="1"/>
    </x:row>
    <x:row r="172" ht="18" customHeight="1">
      <x:c r="A172" s="273" t="str">
        <x:f>IF(B172="","",168)</x:f>
      </x:c>
      <x:c r="B172" s="35" t="str">
        <x:f>IFERROR(INDEX('자산'!$B$5:$B$204,MATCH(168,'자산'!$Z$5:$Z$204,0)),"")</x:f>
      </x:c>
      <x:c r="C172" s="35" t="str">
        <x:f>IF($B172="","",IFERROR(INDEX('자산'!$C$5:$C$204,MATCH($B172,'자산'!$B$5:$B$204,0)),""))</x:f>
      </x:c>
      <x:c r="D172" s="273" t="str">
        <x:f>IF($B172="","",IFERROR(INDEX('자산'!$D$5:$D$204,MATCH($B172,'자산'!$B$5:$B$204,0)),""))</x:f>
      </x:c>
      <x:c r="E172" s="273" t="str">
        <x:f>IF(B172="","",IF(IF($B172="","",IFERROR(INDEX('계약'!$G$5:$G$204,MATCH($B172,'계약'!$B$5:$B$204,0)),""))&lt;&gt;"","대여중","쉬는차"))</x:f>
      </x:c>
      <x:c r="F172" s="35" t="str">
        <x:f>IF($B172="","",IFERROR(INDEX('계약'!$G$5:$G$204,MATCH($B172,'계약'!$B$5:$B$204,0)),""))</x:f>
      </x:c>
      <x:c r="G172" s="276" t="str">
        <x:f>IF($B172="","",IFERROR(INDEX('계약'!$H$5:$H$204,MATCH($B172,'계약'!$B$5:$B$204,0)),""))</x:f>
      </x:c>
      <x:c r="H172" s="276" t="str">
        <x:f>IF($B172="","",IFERROR(INDEX('계약'!$I$5:$I$204,MATCH($B172,'계약'!$B$5:$B$204,0)),""))</x:f>
      </x:c>
      <x:c r="I172" s="35" t="str">
        <x:f>IF(H172="","",IF(H172&lt;'요약'!$B$2,"만료",(YEAR(H172)-YEAR('요약'!$B$2))*12+MONTH(H172)-MONTH('요약'!$B$2)))</x:f>
      </x:c>
      <x:c r="J172" s="279" t="str">
        <x:f>IF($B172="","",IFERROR(INDEX('계약'!$K$5:$K$204,MATCH($B172,'계약'!$B$5:$B$204,0)),""))</x:f>
      </x:c>
      <x:c r="K172" s="279" t="str">
        <x:f>IF($B172="","",IFERROR(INDEX('계약'!$L$5:$L$204,MATCH($B172,'계약'!$B$5:$B$204,0)),""))</x:f>
      </x:c>
      <x:c r="L172" s="279" t="str">
        <x:f>IF($B172="","",IFERROR(INDEX('수납'!$E$5:$E$204,MATCH($B172,'수납'!$B$5:$B$204,0)),0))</x:f>
      </x:c>
      <x:c r="M172" s="35" t="str">
        <x:f>IF($B172="","",IFERROR(INDEX('수납'!$D$5:$D$204,MATCH($B172,'수납'!$B$5:$B$204,0)),0))</x:f>
      </x:c>
      <x:c r="N172" s="35" t="str">
        <x:f>IF($B172="","",IFERROR(INDEX('계약'!$M$5:$M$204,MATCH($B172,'계약'!$B$5:$B$204,0)),""))</x:f>
      </x:c>
      <x:c r="O172" s="1"/>
      <x:c r="P172" s="1"/>
      <x:c r="Q172" s="1"/>
      <x:c r="R172" s="1"/>
      <x:c r="S172" s="1"/>
      <x:c r="T172" s="1"/>
      <x:c r="U172" s="1"/>
      <x:c r="V172" s="1"/>
      <x:c r="W172" s="1"/>
      <x:c r="X172" s="1"/>
      <x:c r="Y172" s="1"/>
      <x:c r="Z172" s="1"/>
      <x:c r="AA172" s="1"/>
      <x:c r="AB172" s="1"/>
      <x:c r="AC172" s="1"/>
      <x:c r="AD172" s="1"/>
      <x:c r="AE172" s="1"/>
    </x:row>
    <x:row r="173" ht="18" customHeight="1">
      <x:c r="A173" s="273" t="str">
        <x:f>IF(B173="","",169)</x:f>
      </x:c>
      <x:c r="B173" s="35" t="str">
        <x:f>IFERROR(INDEX('자산'!$B$5:$B$204,MATCH(169,'자산'!$Z$5:$Z$204,0)),"")</x:f>
      </x:c>
      <x:c r="C173" s="35" t="str">
        <x:f>IF($B173="","",IFERROR(INDEX('자산'!$C$5:$C$204,MATCH($B173,'자산'!$B$5:$B$204,0)),""))</x:f>
      </x:c>
      <x:c r="D173" s="273" t="str">
        <x:f>IF($B173="","",IFERROR(INDEX('자산'!$D$5:$D$204,MATCH($B173,'자산'!$B$5:$B$204,0)),""))</x:f>
      </x:c>
      <x:c r="E173" s="273" t="str">
        <x:f>IF(B173="","",IF(IF($B173="","",IFERROR(INDEX('계약'!$G$5:$G$204,MATCH($B173,'계약'!$B$5:$B$204,0)),""))&lt;&gt;"","대여중","쉬는차"))</x:f>
      </x:c>
      <x:c r="F173" s="35" t="str">
        <x:f>IF($B173="","",IFERROR(INDEX('계약'!$G$5:$G$204,MATCH($B173,'계약'!$B$5:$B$204,0)),""))</x:f>
      </x:c>
      <x:c r="G173" s="276" t="str">
        <x:f>IF($B173="","",IFERROR(INDEX('계약'!$H$5:$H$204,MATCH($B173,'계약'!$B$5:$B$204,0)),""))</x:f>
      </x:c>
      <x:c r="H173" s="276" t="str">
        <x:f>IF($B173="","",IFERROR(INDEX('계약'!$I$5:$I$204,MATCH($B173,'계약'!$B$5:$B$204,0)),""))</x:f>
      </x:c>
      <x:c r="I173" s="35" t="str">
        <x:f>IF(H173="","",IF(H173&lt;'요약'!$B$2,"만료",(YEAR(H173)-YEAR('요약'!$B$2))*12+MONTH(H173)-MONTH('요약'!$B$2)))</x:f>
      </x:c>
      <x:c r="J173" s="279" t="str">
        <x:f>IF($B173="","",IFERROR(INDEX('계약'!$K$5:$K$204,MATCH($B173,'계약'!$B$5:$B$204,0)),""))</x:f>
      </x:c>
      <x:c r="K173" s="279" t="str">
        <x:f>IF($B173="","",IFERROR(INDEX('계약'!$L$5:$L$204,MATCH($B173,'계약'!$B$5:$B$204,0)),""))</x:f>
      </x:c>
      <x:c r="L173" s="279" t="str">
        <x:f>IF($B173="","",IFERROR(INDEX('수납'!$E$5:$E$204,MATCH($B173,'수납'!$B$5:$B$204,0)),0))</x:f>
      </x:c>
      <x:c r="M173" s="35" t="str">
        <x:f>IF($B173="","",IFERROR(INDEX('수납'!$D$5:$D$204,MATCH($B173,'수납'!$B$5:$B$204,0)),0))</x:f>
      </x:c>
      <x:c r="N173" s="35" t="str">
        <x:f>IF($B173="","",IFERROR(INDEX('계약'!$M$5:$M$204,MATCH($B173,'계약'!$B$5:$B$204,0)),""))</x:f>
      </x:c>
      <x:c r="O173" s="1"/>
      <x:c r="P173" s="1"/>
      <x:c r="Q173" s="1"/>
      <x:c r="R173" s="1"/>
      <x:c r="S173" s="1"/>
      <x:c r="T173" s="1"/>
      <x:c r="U173" s="1"/>
      <x:c r="V173" s="1"/>
      <x:c r="W173" s="1"/>
      <x:c r="X173" s="1"/>
      <x:c r="Y173" s="1"/>
      <x:c r="Z173" s="1"/>
      <x:c r="AA173" s="1"/>
      <x:c r="AB173" s="1"/>
      <x:c r="AC173" s="1"/>
      <x:c r="AD173" s="1"/>
      <x:c r="AE173" s="1"/>
    </x:row>
    <x:row r="174" ht="18" customHeight="1">
      <x:c r="A174" s="273" t="str">
        <x:f>IF(B174="","",170)</x:f>
      </x:c>
      <x:c r="B174" s="35" t="str">
        <x:f>IFERROR(INDEX('자산'!$B$5:$B$204,MATCH(170,'자산'!$Z$5:$Z$204,0)),"")</x:f>
      </x:c>
      <x:c r="C174" s="35" t="str">
        <x:f>IF($B174="","",IFERROR(INDEX('자산'!$C$5:$C$204,MATCH($B174,'자산'!$B$5:$B$204,0)),""))</x:f>
      </x:c>
      <x:c r="D174" s="273" t="str">
        <x:f>IF($B174="","",IFERROR(INDEX('자산'!$D$5:$D$204,MATCH($B174,'자산'!$B$5:$B$204,0)),""))</x:f>
      </x:c>
      <x:c r="E174" s="273" t="str">
        <x:f>IF(B174="","",IF(IF($B174="","",IFERROR(INDEX('계약'!$G$5:$G$204,MATCH($B174,'계약'!$B$5:$B$204,0)),""))&lt;&gt;"","대여중","쉬는차"))</x:f>
      </x:c>
      <x:c r="F174" s="35" t="str">
        <x:f>IF($B174="","",IFERROR(INDEX('계약'!$G$5:$G$204,MATCH($B174,'계약'!$B$5:$B$204,0)),""))</x:f>
      </x:c>
      <x:c r="G174" s="276" t="str">
        <x:f>IF($B174="","",IFERROR(INDEX('계약'!$H$5:$H$204,MATCH($B174,'계약'!$B$5:$B$204,0)),""))</x:f>
      </x:c>
      <x:c r="H174" s="276" t="str">
        <x:f>IF($B174="","",IFERROR(INDEX('계약'!$I$5:$I$204,MATCH($B174,'계약'!$B$5:$B$204,0)),""))</x:f>
      </x:c>
      <x:c r="I174" s="35" t="str">
        <x:f>IF(H174="","",IF(H174&lt;'요약'!$B$2,"만료",(YEAR(H174)-YEAR('요약'!$B$2))*12+MONTH(H174)-MONTH('요약'!$B$2)))</x:f>
      </x:c>
      <x:c r="J174" s="279" t="str">
        <x:f>IF($B174="","",IFERROR(INDEX('계약'!$K$5:$K$204,MATCH($B174,'계약'!$B$5:$B$204,0)),""))</x:f>
      </x:c>
      <x:c r="K174" s="279" t="str">
        <x:f>IF($B174="","",IFERROR(INDEX('계약'!$L$5:$L$204,MATCH($B174,'계약'!$B$5:$B$204,0)),""))</x:f>
      </x:c>
      <x:c r="L174" s="279" t="str">
        <x:f>IF($B174="","",IFERROR(INDEX('수납'!$E$5:$E$204,MATCH($B174,'수납'!$B$5:$B$204,0)),0))</x:f>
      </x:c>
      <x:c r="M174" s="35" t="str">
        <x:f>IF($B174="","",IFERROR(INDEX('수납'!$D$5:$D$204,MATCH($B174,'수납'!$B$5:$B$204,0)),0))</x:f>
      </x:c>
      <x:c r="N174" s="35" t="str">
        <x:f>IF($B174="","",IFERROR(INDEX('계약'!$M$5:$M$204,MATCH($B174,'계약'!$B$5:$B$204,0)),""))</x:f>
      </x:c>
      <x:c r="O174" s="1"/>
      <x:c r="P174" s="1"/>
      <x:c r="Q174" s="1"/>
      <x:c r="R174" s="1"/>
      <x:c r="S174" s="1"/>
      <x:c r="T174" s="1"/>
      <x:c r="U174" s="1"/>
      <x:c r="V174" s="1"/>
      <x:c r="W174" s="1"/>
      <x:c r="X174" s="1"/>
      <x:c r="Y174" s="1"/>
      <x:c r="Z174" s="1"/>
      <x:c r="AA174" s="1"/>
      <x:c r="AB174" s="1"/>
      <x:c r="AC174" s="1"/>
      <x:c r="AD174" s="1"/>
      <x:c r="AE174" s="1"/>
    </x:row>
    <x:row r="175" ht="18" customHeight="1">
      <x:c r="A175" s="273" t="str">
        <x:f>IF(B175="","",171)</x:f>
      </x:c>
      <x:c r="B175" s="35" t="str">
        <x:f>IFERROR(INDEX('자산'!$B$5:$B$204,MATCH(171,'자산'!$Z$5:$Z$204,0)),"")</x:f>
      </x:c>
      <x:c r="C175" s="35" t="str">
        <x:f>IF($B175="","",IFERROR(INDEX('자산'!$C$5:$C$204,MATCH($B175,'자산'!$B$5:$B$204,0)),""))</x:f>
      </x:c>
      <x:c r="D175" s="273" t="str">
        <x:f>IF($B175="","",IFERROR(INDEX('자산'!$D$5:$D$204,MATCH($B175,'자산'!$B$5:$B$204,0)),""))</x:f>
      </x:c>
      <x:c r="E175" s="273" t="str">
        <x:f>IF(B175="","",IF(IF($B175="","",IFERROR(INDEX('계약'!$G$5:$G$204,MATCH($B175,'계약'!$B$5:$B$204,0)),""))&lt;&gt;"","대여중","쉬는차"))</x:f>
      </x:c>
      <x:c r="F175" s="35" t="str">
        <x:f>IF($B175="","",IFERROR(INDEX('계약'!$G$5:$G$204,MATCH($B175,'계약'!$B$5:$B$204,0)),""))</x:f>
      </x:c>
      <x:c r="G175" s="276" t="str">
        <x:f>IF($B175="","",IFERROR(INDEX('계약'!$H$5:$H$204,MATCH($B175,'계약'!$B$5:$B$204,0)),""))</x:f>
      </x:c>
      <x:c r="H175" s="276" t="str">
        <x:f>IF($B175="","",IFERROR(INDEX('계약'!$I$5:$I$204,MATCH($B175,'계약'!$B$5:$B$204,0)),""))</x:f>
      </x:c>
      <x:c r="I175" s="35" t="str">
        <x:f>IF(H175="","",IF(H175&lt;'요약'!$B$2,"만료",(YEAR(H175)-YEAR('요약'!$B$2))*12+MONTH(H175)-MONTH('요약'!$B$2)))</x:f>
      </x:c>
      <x:c r="J175" s="279" t="str">
        <x:f>IF($B175="","",IFERROR(INDEX('계약'!$K$5:$K$204,MATCH($B175,'계약'!$B$5:$B$204,0)),""))</x:f>
      </x:c>
      <x:c r="K175" s="279" t="str">
        <x:f>IF($B175="","",IFERROR(INDEX('계약'!$L$5:$L$204,MATCH($B175,'계약'!$B$5:$B$204,0)),""))</x:f>
      </x:c>
      <x:c r="L175" s="279" t="str">
        <x:f>IF($B175="","",IFERROR(INDEX('수납'!$E$5:$E$204,MATCH($B175,'수납'!$B$5:$B$204,0)),0))</x:f>
      </x:c>
      <x:c r="M175" s="35" t="str">
        <x:f>IF($B175="","",IFERROR(INDEX('수납'!$D$5:$D$204,MATCH($B175,'수납'!$B$5:$B$204,0)),0))</x:f>
      </x:c>
      <x:c r="N175" s="35" t="str">
        <x:f>IF($B175="","",IFERROR(INDEX('계약'!$M$5:$M$204,MATCH($B175,'계약'!$B$5:$B$204,0)),""))</x:f>
      </x:c>
      <x:c r="O175" s="1"/>
      <x:c r="P175" s="1"/>
      <x:c r="Q175" s="1"/>
      <x:c r="R175" s="1"/>
      <x:c r="S175" s="1"/>
      <x:c r="T175" s="1"/>
      <x:c r="U175" s="1"/>
      <x:c r="V175" s="1"/>
      <x:c r="W175" s="1"/>
      <x:c r="X175" s="1"/>
      <x:c r="Y175" s="1"/>
      <x:c r="Z175" s="1"/>
      <x:c r="AA175" s="1"/>
      <x:c r="AB175" s="1"/>
      <x:c r="AC175" s="1"/>
      <x:c r="AD175" s="1"/>
      <x:c r="AE175" s="1"/>
    </x:row>
    <x:row r="176" ht="18" customHeight="1">
      <x:c r="A176" s="273" t="str">
        <x:f>IF(B176="","",172)</x:f>
      </x:c>
      <x:c r="B176" s="35" t="str">
        <x:f>IFERROR(INDEX('자산'!$B$5:$B$204,MATCH(172,'자산'!$Z$5:$Z$204,0)),"")</x:f>
      </x:c>
      <x:c r="C176" s="35" t="str">
        <x:f>IF($B176="","",IFERROR(INDEX('자산'!$C$5:$C$204,MATCH($B176,'자산'!$B$5:$B$204,0)),""))</x:f>
      </x:c>
      <x:c r="D176" s="273" t="str">
        <x:f>IF($B176="","",IFERROR(INDEX('자산'!$D$5:$D$204,MATCH($B176,'자산'!$B$5:$B$204,0)),""))</x:f>
      </x:c>
      <x:c r="E176" s="273" t="str">
        <x:f>IF(B176="","",IF(IF($B176="","",IFERROR(INDEX('계약'!$G$5:$G$204,MATCH($B176,'계약'!$B$5:$B$204,0)),""))&lt;&gt;"","대여중","쉬는차"))</x:f>
      </x:c>
      <x:c r="F176" s="35" t="str">
        <x:f>IF($B176="","",IFERROR(INDEX('계약'!$G$5:$G$204,MATCH($B176,'계약'!$B$5:$B$204,0)),""))</x:f>
      </x:c>
      <x:c r="G176" s="276" t="str">
        <x:f>IF($B176="","",IFERROR(INDEX('계약'!$H$5:$H$204,MATCH($B176,'계약'!$B$5:$B$204,0)),""))</x:f>
      </x:c>
      <x:c r="H176" s="276" t="str">
        <x:f>IF($B176="","",IFERROR(INDEX('계약'!$I$5:$I$204,MATCH($B176,'계약'!$B$5:$B$204,0)),""))</x:f>
      </x:c>
      <x:c r="I176" s="35" t="str">
        <x:f>IF(H176="","",IF(H176&lt;'요약'!$B$2,"만료",(YEAR(H176)-YEAR('요약'!$B$2))*12+MONTH(H176)-MONTH('요약'!$B$2)))</x:f>
      </x:c>
      <x:c r="J176" s="279" t="str">
        <x:f>IF($B176="","",IFERROR(INDEX('계약'!$K$5:$K$204,MATCH($B176,'계약'!$B$5:$B$204,0)),""))</x:f>
      </x:c>
      <x:c r="K176" s="279" t="str">
        <x:f>IF($B176="","",IFERROR(INDEX('계약'!$L$5:$L$204,MATCH($B176,'계약'!$B$5:$B$204,0)),""))</x:f>
      </x:c>
      <x:c r="L176" s="279" t="str">
        <x:f>IF($B176="","",IFERROR(INDEX('수납'!$E$5:$E$204,MATCH($B176,'수납'!$B$5:$B$204,0)),0))</x:f>
      </x:c>
      <x:c r="M176" s="35" t="str">
        <x:f>IF($B176="","",IFERROR(INDEX('수납'!$D$5:$D$204,MATCH($B176,'수납'!$B$5:$B$204,0)),0))</x:f>
      </x:c>
      <x:c r="N176" s="35" t="str">
        <x:f>IF($B176="","",IFERROR(INDEX('계약'!$M$5:$M$204,MATCH($B176,'계약'!$B$5:$B$204,0)),""))</x:f>
      </x:c>
      <x:c r="O176" s="1"/>
      <x:c r="P176" s="1"/>
      <x:c r="Q176" s="1"/>
      <x:c r="R176" s="1"/>
      <x:c r="S176" s="1"/>
      <x:c r="T176" s="1"/>
      <x:c r="U176" s="1"/>
      <x:c r="V176" s="1"/>
      <x:c r="W176" s="1"/>
      <x:c r="X176" s="1"/>
      <x:c r="Y176" s="1"/>
      <x:c r="Z176" s="1"/>
      <x:c r="AA176" s="1"/>
      <x:c r="AB176" s="1"/>
      <x:c r="AC176" s="1"/>
      <x:c r="AD176" s="1"/>
      <x:c r="AE176" s="1"/>
    </x:row>
    <x:row r="177" ht="18" customHeight="1">
      <x:c r="A177" s="273" t="str">
        <x:f>IF(B177="","",173)</x:f>
      </x:c>
      <x:c r="B177" s="35" t="str">
        <x:f>IFERROR(INDEX('자산'!$B$5:$B$204,MATCH(173,'자산'!$Z$5:$Z$204,0)),"")</x:f>
      </x:c>
      <x:c r="C177" s="35" t="str">
        <x:f>IF($B177="","",IFERROR(INDEX('자산'!$C$5:$C$204,MATCH($B177,'자산'!$B$5:$B$204,0)),""))</x:f>
      </x:c>
      <x:c r="D177" s="273" t="str">
        <x:f>IF($B177="","",IFERROR(INDEX('자산'!$D$5:$D$204,MATCH($B177,'자산'!$B$5:$B$204,0)),""))</x:f>
      </x:c>
      <x:c r="E177" s="273" t="str">
        <x:f>IF(B177="","",IF(IF($B177="","",IFERROR(INDEX('계약'!$G$5:$G$204,MATCH($B177,'계약'!$B$5:$B$204,0)),""))&lt;&gt;"","대여중","쉬는차"))</x:f>
      </x:c>
      <x:c r="F177" s="35" t="str">
        <x:f>IF($B177="","",IFERROR(INDEX('계약'!$G$5:$G$204,MATCH($B177,'계약'!$B$5:$B$204,0)),""))</x:f>
      </x:c>
      <x:c r="G177" s="276" t="str">
        <x:f>IF($B177="","",IFERROR(INDEX('계약'!$H$5:$H$204,MATCH($B177,'계약'!$B$5:$B$204,0)),""))</x:f>
      </x:c>
      <x:c r="H177" s="276" t="str">
        <x:f>IF($B177="","",IFERROR(INDEX('계약'!$I$5:$I$204,MATCH($B177,'계약'!$B$5:$B$204,0)),""))</x:f>
      </x:c>
      <x:c r="I177" s="35" t="str">
        <x:f>IF(H177="","",IF(H177&lt;'요약'!$B$2,"만료",(YEAR(H177)-YEAR('요약'!$B$2))*12+MONTH(H177)-MONTH('요약'!$B$2)))</x:f>
      </x:c>
      <x:c r="J177" s="279" t="str">
        <x:f>IF($B177="","",IFERROR(INDEX('계약'!$K$5:$K$204,MATCH($B177,'계약'!$B$5:$B$204,0)),""))</x:f>
      </x:c>
      <x:c r="K177" s="279" t="str">
        <x:f>IF($B177="","",IFERROR(INDEX('계약'!$L$5:$L$204,MATCH($B177,'계약'!$B$5:$B$204,0)),""))</x:f>
      </x:c>
      <x:c r="L177" s="279" t="str">
        <x:f>IF($B177="","",IFERROR(INDEX('수납'!$E$5:$E$204,MATCH($B177,'수납'!$B$5:$B$204,0)),0))</x:f>
      </x:c>
      <x:c r="M177" s="35" t="str">
        <x:f>IF($B177="","",IFERROR(INDEX('수납'!$D$5:$D$204,MATCH($B177,'수납'!$B$5:$B$204,0)),0))</x:f>
      </x:c>
      <x:c r="N177" s="35" t="str">
        <x:f>IF($B177="","",IFERROR(INDEX('계약'!$M$5:$M$204,MATCH($B177,'계약'!$B$5:$B$204,0)),""))</x:f>
      </x:c>
      <x:c r="O177" s="1"/>
      <x:c r="P177" s="1"/>
      <x:c r="Q177" s="1"/>
      <x:c r="R177" s="1"/>
      <x:c r="S177" s="1"/>
      <x:c r="T177" s="1"/>
      <x:c r="U177" s="1"/>
      <x:c r="V177" s="1"/>
      <x:c r="W177" s="1"/>
      <x:c r="X177" s="1"/>
      <x:c r="Y177" s="1"/>
      <x:c r="Z177" s="1"/>
      <x:c r="AA177" s="1"/>
      <x:c r="AB177" s="1"/>
      <x:c r="AC177" s="1"/>
      <x:c r="AD177" s="1"/>
      <x:c r="AE177" s="1"/>
    </x:row>
    <x:row r="178" ht="18" customHeight="1">
      <x:c r="A178" s="273" t="str">
        <x:f>IF(B178="","",174)</x:f>
      </x:c>
      <x:c r="B178" s="35" t="str">
        <x:f>IFERROR(INDEX('자산'!$B$5:$B$204,MATCH(174,'자산'!$Z$5:$Z$204,0)),"")</x:f>
      </x:c>
      <x:c r="C178" s="35" t="str">
        <x:f>IF($B178="","",IFERROR(INDEX('자산'!$C$5:$C$204,MATCH($B178,'자산'!$B$5:$B$204,0)),""))</x:f>
      </x:c>
      <x:c r="D178" s="273" t="str">
        <x:f>IF($B178="","",IFERROR(INDEX('자산'!$D$5:$D$204,MATCH($B178,'자산'!$B$5:$B$204,0)),""))</x:f>
      </x:c>
      <x:c r="E178" s="273" t="str">
        <x:f>IF(B178="","",IF(IF($B178="","",IFERROR(INDEX('계약'!$G$5:$G$204,MATCH($B178,'계약'!$B$5:$B$204,0)),""))&lt;&gt;"","대여중","쉬는차"))</x:f>
      </x:c>
      <x:c r="F178" s="35" t="str">
        <x:f>IF($B178="","",IFERROR(INDEX('계약'!$G$5:$G$204,MATCH($B178,'계약'!$B$5:$B$204,0)),""))</x:f>
      </x:c>
      <x:c r="G178" s="276" t="str">
        <x:f>IF($B178="","",IFERROR(INDEX('계약'!$H$5:$H$204,MATCH($B178,'계약'!$B$5:$B$204,0)),""))</x:f>
      </x:c>
      <x:c r="H178" s="276" t="str">
        <x:f>IF($B178="","",IFERROR(INDEX('계약'!$I$5:$I$204,MATCH($B178,'계약'!$B$5:$B$204,0)),""))</x:f>
      </x:c>
      <x:c r="I178" s="35" t="str">
        <x:f>IF(H178="","",IF(H178&lt;'요약'!$B$2,"만료",(YEAR(H178)-YEAR('요약'!$B$2))*12+MONTH(H178)-MONTH('요약'!$B$2)))</x:f>
      </x:c>
      <x:c r="J178" s="279" t="str">
        <x:f>IF($B178="","",IFERROR(INDEX('계약'!$K$5:$K$204,MATCH($B178,'계약'!$B$5:$B$204,0)),""))</x:f>
      </x:c>
      <x:c r="K178" s="279" t="str">
        <x:f>IF($B178="","",IFERROR(INDEX('계약'!$L$5:$L$204,MATCH($B178,'계약'!$B$5:$B$204,0)),""))</x:f>
      </x:c>
      <x:c r="L178" s="279" t="str">
        <x:f>IF($B178="","",IFERROR(INDEX('수납'!$E$5:$E$204,MATCH($B178,'수납'!$B$5:$B$204,0)),0))</x:f>
      </x:c>
      <x:c r="M178" s="35" t="str">
        <x:f>IF($B178="","",IFERROR(INDEX('수납'!$D$5:$D$204,MATCH($B178,'수납'!$B$5:$B$204,0)),0))</x:f>
      </x:c>
      <x:c r="N178" s="35" t="str">
        <x:f>IF($B178="","",IFERROR(INDEX('계약'!$M$5:$M$204,MATCH($B178,'계약'!$B$5:$B$204,0)),""))</x:f>
      </x:c>
      <x:c r="O178" s="1"/>
      <x:c r="P178" s="1"/>
      <x:c r="Q178" s="1"/>
      <x:c r="R178" s="1"/>
      <x:c r="S178" s="1"/>
      <x:c r="T178" s="1"/>
      <x:c r="U178" s="1"/>
      <x:c r="V178" s="1"/>
      <x:c r="W178" s="1"/>
      <x:c r="X178" s="1"/>
      <x:c r="Y178" s="1"/>
      <x:c r="Z178" s="1"/>
      <x:c r="AA178" s="1"/>
      <x:c r="AB178" s="1"/>
      <x:c r="AC178" s="1"/>
      <x:c r="AD178" s="1"/>
      <x:c r="AE178" s="1"/>
    </x:row>
    <x:row r="179" ht="18" customHeight="1">
      <x:c r="A179" s="273" t="str">
        <x:f>IF(B179="","",175)</x:f>
      </x:c>
      <x:c r="B179" s="35" t="str">
        <x:f>IFERROR(INDEX('자산'!$B$5:$B$204,MATCH(175,'자산'!$Z$5:$Z$204,0)),"")</x:f>
      </x:c>
      <x:c r="C179" s="35" t="str">
        <x:f>IF($B179="","",IFERROR(INDEX('자산'!$C$5:$C$204,MATCH($B179,'자산'!$B$5:$B$204,0)),""))</x:f>
      </x:c>
      <x:c r="D179" s="273" t="str">
        <x:f>IF($B179="","",IFERROR(INDEX('자산'!$D$5:$D$204,MATCH($B179,'자산'!$B$5:$B$204,0)),""))</x:f>
      </x:c>
      <x:c r="E179" s="273" t="str">
        <x:f>IF(B179="","",IF(IF($B179="","",IFERROR(INDEX('계약'!$G$5:$G$204,MATCH($B179,'계약'!$B$5:$B$204,0)),""))&lt;&gt;"","대여중","쉬는차"))</x:f>
      </x:c>
      <x:c r="F179" s="35" t="str">
        <x:f>IF($B179="","",IFERROR(INDEX('계약'!$G$5:$G$204,MATCH($B179,'계약'!$B$5:$B$204,0)),""))</x:f>
      </x:c>
      <x:c r="G179" s="276" t="str">
        <x:f>IF($B179="","",IFERROR(INDEX('계약'!$H$5:$H$204,MATCH($B179,'계약'!$B$5:$B$204,0)),""))</x:f>
      </x:c>
      <x:c r="H179" s="276" t="str">
        <x:f>IF($B179="","",IFERROR(INDEX('계약'!$I$5:$I$204,MATCH($B179,'계약'!$B$5:$B$204,0)),""))</x:f>
      </x:c>
      <x:c r="I179" s="35" t="str">
        <x:f>IF(H179="","",IF(H179&lt;'요약'!$B$2,"만료",(YEAR(H179)-YEAR('요약'!$B$2))*12+MONTH(H179)-MONTH('요약'!$B$2)))</x:f>
      </x:c>
      <x:c r="J179" s="279" t="str">
        <x:f>IF($B179="","",IFERROR(INDEX('계약'!$K$5:$K$204,MATCH($B179,'계약'!$B$5:$B$204,0)),""))</x:f>
      </x:c>
      <x:c r="K179" s="279" t="str">
        <x:f>IF($B179="","",IFERROR(INDEX('계약'!$L$5:$L$204,MATCH($B179,'계약'!$B$5:$B$204,0)),""))</x:f>
      </x:c>
      <x:c r="L179" s="279" t="str">
        <x:f>IF($B179="","",IFERROR(INDEX('수납'!$E$5:$E$204,MATCH($B179,'수납'!$B$5:$B$204,0)),0))</x:f>
      </x:c>
      <x:c r="M179" s="35" t="str">
        <x:f>IF($B179="","",IFERROR(INDEX('수납'!$D$5:$D$204,MATCH($B179,'수납'!$B$5:$B$204,0)),0))</x:f>
      </x:c>
      <x:c r="N179" s="35" t="str">
        <x:f>IF($B179="","",IFERROR(INDEX('계약'!$M$5:$M$204,MATCH($B179,'계약'!$B$5:$B$204,0)),""))</x:f>
      </x:c>
      <x:c r="O179" s="1"/>
      <x:c r="P179" s="1"/>
      <x:c r="Q179" s="1"/>
      <x:c r="R179" s="1"/>
      <x:c r="S179" s="1"/>
      <x:c r="T179" s="1"/>
      <x:c r="U179" s="1"/>
      <x:c r="V179" s="1"/>
      <x:c r="W179" s="1"/>
      <x:c r="X179" s="1"/>
      <x:c r="Y179" s="1"/>
      <x:c r="Z179" s="1"/>
      <x:c r="AA179" s="1"/>
      <x:c r="AB179" s="1"/>
      <x:c r="AC179" s="1"/>
      <x:c r="AD179" s="1"/>
      <x:c r="AE179" s="1"/>
    </x:row>
    <x:row r="180" ht="18" customHeight="1">
      <x:c r="A180" s="273" t="str">
        <x:f>IF(B180="","",176)</x:f>
      </x:c>
      <x:c r="B180" s="35" t="str">
        <x:f>IFERROR(INDEX('자산'!$B$5:$B$204,MATCH(176,'자산'!$Z$5:$Z$204,0)),"")</x:f>
      </x:c>
      <x:c r="C180" s="35" t="str">
        <x:f>IF($B180="","",IFERROR(INDEX('자산'!$C$5:$C$204,MATCH($B180,'자산'!$B$5:$B$204,0)),""))</x:f>
      </x:c>
      <x:c r="D180" s="273" t="str">
        <x:f>IF($B180="","",IFERROR(INDEX('자산'!$D$5:$D$204,MATCH($B180,'자산'!$B$5:$B$204,0)),""))</x:f>
      </x:c>
      <x:c r="E180" s="273" t="str">
        <x:f>IF(B180="","",IF(IF($B180="","",IFERROR(INDEX('계약'!$G$5:$G$204,MATCH($B180,'계약'!$B$5:$B$204,0)),""))&lt;&gt;"","대여중","쉬는차"))</x:f>
      </x:c>
      <x:c r="F180" s="35" t="str">
        <x:f>IF($B180="","",IFERROR(INDEX('계약'!$G$5:$G$204,MATCH($B180,'계약'!$B$5:$B$204,0)),""))</x:f>
      </x:c>
      <x:c r="G180" s="276" t="str">
        <x:f>IF($B180="","",IFERROR(INDEX('계약'!$H$5:$H$204,MATCH($B180,'계약'!$B$5:$B$204,0)),""))</x:f>
      </x:c>
      <x:c r="H180" s="276" t="str">
        <x:f>IF($B180="","",IFERROR(INDEX('계약'!$I$5:$I$204,MATCH($B180,'계약'!$B$5:$B$204,0)),""))</x:f>
      </x:c>
      <x:c r="I180" s="35" t="str">
        <x:f>IF(H180="","",IF(H180&lt;'요약'!$B$2,"만료",(YEAR(H180)-YEAR('요약'!$B$2))*12+MONTH(H180)-MONTH('요약'!$B$2)))</x:f>
      </x:c>
      <x:c r="J180" s="279" t="str">
        <x:f>IF($B180="","",IFERROR(INDEX('계약'!$K$5:$K$204,MATCH($B180,'계약'!$B$5:$B$204,0)),""))</x:f>
      </x:c>
      <x:c r="K180" s="279" t="str">
        <x:f>IF($B180="","",IFERROR(INDEX('계약'!$L$5:$L$204,MATCH($B180,'계약'!$B$5:$B$204,0)),""))</x:f>
      </x:c>
      <x:c r="L180" s="279" t="str">
        <x:f>IF($B180="","",IFERROR(INDEX('수납'!$E$5:$E$204,MATCH($B180,'수납'!$B$5:$B$204,0)),0))</x:f>
      </x:c>
      <x:c r="M180" s="35" t="str">
        <x:f>IF($B180="","",IFERROR(INDEX('수납'!$D$5:$D$204,MATCH($B180,'수납'!$B$5:$B$204,0)),0))</x:f>
      </x:c>
      <x:c r="N180" s="35" t="str">
        <x:f>IF($B180="","",IFERROR(INDEX('계약'!$M$5:$M$204,MATCH($B180,'계약'!$B$5:$B$204,0)),""))</x:f>
      </x:c>
      <x:c r="O180" s="1"/>
      <x:c r="P180" s="1"/>
      <x:c r="Q180" s="1"/>
      <x:c r="R180" s="1"/>
      <x:c r="S180" s="1"/>
      <x:c r="T180" s="1"/>
      <x:c r="U180" s="1"/>
      <x:c r="V180" s="1"/>
      <x:c r="W180" s="1"/>
      <x:c r="X180" s="1"/>
      <x:c r="Y180" s="1"/>
      <x:c r="Z180" s="1"/>
      <x:c r="AA180" s="1"/>
      <x:c r="AB180" s="1"/>
      <x:c r="AC180" s="1"/>
      <x:c r="AD180" s="1"/>
      <x:c r="AE180" s="1"/>
    </x:row>
    <x:row r="181" ht="18" customHeight="1">
      <x:c r="A181" s="273" t="str">
        <x:f>IF(B181="","",177)</x:f>
      </x:c>
      <x:c r="B181" s="35" t="str">
        <x:f>IFERROR(INDEX('자산'!$B$5:$B$204,MATCH(177,'자산'!$Z$5:$Z$204,0)),"")</x:f>
      </x:c>
      <x:c r="C181" s="35" t="str">
        <x:f>IF($B181="","",IFERROR(INDEX('자산'!$C$5:$C$204,MATCH($B181,'자산'!$B$5:$B$204,0)),""))</x:f>
      </x:c>
      <x:c r="D181" s="273" t="str">
        <x:f>IF($B181="","",IFERROR(INDEX('자산'!$D$5:$D$204,MATCH($B181,'자산'!$B$5:$B$204,0)),""))</x:f>
      </x:c>
      <x:c r="E181" s="273" t="str">
        <x:f>IF(B181="","",IF(IF($B181="","",IFERROR(INDEX('계약'!$G$5:$G$204,MATCH($B181,'계약'!$B$5:$B$204,0)),""))&lt;&gt;"","대여중","쉬는차"))</x:f>
      </x:c>
      <x:c r="F181" s="35" t="str">
        <x:f>IF($B181="","",IFERROR(INDEX('계약'!$G$5:$G$204,MATCH($B181,'계약'!$B$5:$B$204,0)),""))</x:f>
      </x:c>
      <x:c r="G181" s="276" t="str">
        <x:f>IF($B181="","",IFERROR(INDEX('계약'!$H$5:$H$204,MATCH($B181,'계약'!$B$5:$B$204,0)),""))</x:f>
      </x:c>
      <x:c r="H181" s="276" t="str">
        <x:f>IF($B181="","",IFERROR(INDEX('계약'!$I$5:$I$204,MATCH($B181,'계약'!$B$5:$B$204,0)),""))</x:f>
      </x:c>
      <x:c r="I181" s="35" t="str">
        <x:f>IF(H181="","",IF(H181&lt;'요약'!$B$2,"만료",(YEAR(H181)-YEAR('요약'!$B$2))*12+MONTH(H181)-MONTH('요약'!$B$2)))</x:f>
      </x:c>
      <x:c r="J181" s="279" t="str">
        <x:f>IF($B181="","",IFERROR(INDEX('계약'!$K$5:$K$204,MATCH($B181,'계약'!$B$5:$B$204,0)),""))</x:f>
      </x:c>
      <x:c r="K181" s="279" t="str">
        <x:f>IF($B181="","",IFERROR(INDEX('계약'!$L$5:$L$204,MATCH($B181,'계약'!$B$5:$B$204,0)),""))</x:f>
      </x:c>
      <x:c r="L181" s="279" t="str">
        <x:f>IF($B181="","",IFERROR(INDEX('수납'!$E$5:$E$204,MATCH($B181,'수납'!$B$5:$B$204,0)),0))</x:f>
      </x:c>
      <x:c r="M181" s="35" t="str">
        <x:f>IF($B181="","",IFERROR(INDEX('수납'!$D$5:$D$204,MATCH($B181,'수납'!$B$5:$B$204,0)),0))</x:f>
      </x:c>
      <x:c r="N181" s="35" t="str">
        <x:f>IF($B181="","",IFERROR(INDEX('계약'!$M$5:$M$204,MATCH($B181,'계약'!$B$5:$B$204,0)),""))</x:f>
      </x:c>
      <x:c r="O181" s="1"/>
      <x:c r="P181" s="1"/>
      <x:c r="Q181" s="1"/>
      <x:c r="R181" s="1"/>
      <x:c r="S181" s="1"/>
      <x:c r="T181" s="1"/>
      <x:c r="U181" s="1"/>
      <x:c r="V181" s="1"/>
      <x:c r="W181" s="1"/>
      <x:c r="X181" s="1"/>
      <x:c r="Y181" s="1"/>
      <x:c r="Z181" s="1"/>
      <x:c r="AA181" s="1"/>
      <x:c r="AB181" s="1"/>
      <x:c r="AC181" s="1"/>
      <x:c r="AD181" s="1"/>
      <x:c r="AE181" s="1"/>
    </x:row>
    <x:row r="182" ht="18" customHeight="1">
      <x:c r="A182" s="273" t="str">
        <x:f>IF(B182="","",178)</x:f>
      </x:c>
      <x:c r="B182" s="35" t="str">
        <x:f>IFERROR(INDEX('자산'!$B$5:$B$204,MATCH(178,'자산'!$Z$5:$Z$204,0)),"")</x:f>
      </x:c>
      <x:c r="C182" s="35" t="str">
        <x:f>IF($B182="","",IFERROR(INDEX('자산'!$C$5:$C$204,MATCH($B182,'자산'!$B$5:$B$204,0)),""))</x:f>
      </x:c>
      <x:c r="D182" s="273" t="str">
        <x:f>IF($B182="","",IFERROR(INDEX('자산'!$D$5:$D$204,MATCH($B182,'자산'!$B$5:$B$204,0)),""))</x:f>
      </x:c>
      <x:c r="E182" s="273" t="str">
        <x:f>IF(B182="","",IF(IF($B182="","",IFERROR(INDEX('계약'!$G$5:$G$204,MATCH($B182,'계약'!$B$5:$B$204,0)),""))&lt;&gt;"","대여중","쉬는차"))</x:f>
      </x:c>
      <x:c r="F182" s="35" t="str">
        <x:f>IF($B182="","",IFERROR(INDEX('계약'!$G$5:$G$204,MATCH($B182,'계약'!$B$5:$B$204,0)),""))</x:f>
      </x:c>
      <x:c r="G182" s="276" t="str">
        <x:f>IF($B182="","",IFERROR(INDEX('계약'!$H$5:$H$204,MATCH($B182,'계약'!$B$5:$B$204,0)),""))</x:f>
      </x:c>
      <x:c r="H182" s="276" t="str">
        <x:f>IF($B182="","",IFERROR(INDEX('계약'!$I$5:$I$204,MATCH($B182,'계약'!$B$5:$B$204,0)),""))</x:f>
      </x:c>
      <x:c r="I182" s="35" t="str">
        <x:f>IF(H182="","",IF(H182&lt;'요약'!$B$2,"만료",(YEAR(H182)-YEAR('요약'!$B$2))*12+MONTH(H182)-MONTH('요약'!$B$2)))</x:f>
      </x:c>
      <x:c r="J182" s="279" t="str">
        <x:f>IF($B182="","",IFERROR(INDEX('계약'!$K$5:$K$204,MATCH($B182,'계약'!$B$5:$B$204,0)),""))</x:f>
      </x:c>
      <x:c r="K182" s="279" t="str">
        <x:f>IF($B182="","",IFERROR(INDEX('계약'!$L$5:$L$204,MATCH($B182,'계약'!$B$5:$B$204,0)),""))</x:f>
      </x:c>
      <x:c r="L182" s="279" t="str">
        <x:f>IF($B182="","",IFERROR(INDEX('수납'!$E$5:$E$204,MATCH($B182,'수납'!$B$5:$B$204,0)),0))</x:f>
      </x:c>
      <x:c r="M182" s="35" t="str">
        <x:f>IF($B182="","",IFERROR(INDEX('수납'!$D$5:$D$204,MATCH($B182,'수납'!$B$5:$B$204,0)),0))</x:f>
      </x:c>
      <x:c r="N182" s="35" t="str">
        <x:f>IF($B182="","",IFERROR(INDEX('계약'!$M$5:$M$204,MATCH($B182,'계약'!$B$5:$B$204,0)),""))</x:f>
      </x:c>
      <x:c r="O182" s="1"/>
      <x:c r="P182" s="1"/>
      <x:c r="Q182" s="1"/>
      <x:c r="R182" s="1"/>
      <x:c r="S182" s="1"/>
      <x:c r="T182" s="1"/>
      <x:c r="U182" s="1"/>
      <x:c r="V182" s="1"/>
      <x:c r="W182" s="1"/>
      <x:c r="X182" s="1"/>
      <x:c r="Y182" s="1"/>
      <x:c r="Z182" s="1"/>
      <x:c r="AA182" s="1"/>
      <x:c r="AB182" s="1"/>
      <x:c r="AC182" s="1"/>
      <x:c r="AD182" s="1"/>
      <x:c r="AE182" s="1"/>
    </x:row>
    <x:row r="183" ht="18" customHeight="1">
      <x:c r="A183" s="273" t="str">
        <x:f>IF(B183="","",179)</x:f>
      </x:c>
      <x:c r="B183" s="35" t="str">
        <x:f>IFERROR(INDEX('자산'!$B$5:$B$204,MATCH(179,'자산'!$Z$5:$Z$204,0)),"")</x:f>
      </x:c>
      <x:c r="C183" s="35" t="str">
        <x:f>IF($B183="","",IFERROR(INDEX('자산'!$C$5:$C$204,MATCH($B183,'자산'!$B$5:$B$204,0)),""))</x:f>
      </x:c>
      <x:c r="D183" s="273" t="str">
        <x:f>IF($B183="","",IFERROR(INDEX('자산'!$D$5:$D$204,MATCH($B183,'자산'!$B$5:$B$204,0)),""))</x:f>
      </x:c>
      <x:c r="E183" s="273" t="str">
        <x:f>IF(B183="","",IF(IF($B183="","",IFERROR(INDEX('계약'!$G$5:$G$204,MATCH($B183,'계약'!$B$5:$B$204,0)),""))&lt;&gt;"","대여중","쉬는차"))</x:f>
      </x:c>
      <x:c r="F183" s="35" t="str">
        <x:f>IF($B183="","",IFERROR(INDEX('계약'!$G$5:$G$204,MATCH($B183,'계약'!$B$5:$B$204,0)),""))</x:f>
      </x:c>
      <x:c r="G183" s="276" t="str">
        <x:f>IF($B183="","",IFERROR(INDEX('계약'!$H$5:$H$204,MATCH($B183,'계약'!$B$5:$B$204,0)),""))</x:f>
      </x:c>
      <x:c r="H183" s="276" t="str">
        <x:f>IF($B183="","",IFERROR(INDEX('계약'!$I$5:$I$204,MATCH($B183,'계약'!$B$5:$B$204,0)),""))</x:f>
      </x:c>
      <x:c r="I183" s="35" t="str">
        <x:f>IF(H183="","",IF(H183&lt;'요약'!$B$2,"만료",(YEAR(H183)-YEAR('요약'!$B$2))*12+MONTH(H183)-MONTH('요약'!$B$2)))</x:f>
      </x:c>
      <x:c r="J183" s="279" t="str">
        <x:f>IF($B183="","",IFERROR(INDEX('계약'!$K$5:$K$204,MATCH($B183,'계약'!$B$5:$B$204,0)),""))</x:f>
      </x:c>
      <x:c r="K183" s="279" t="str">
        <x:f>IF($B183="","",IFERROR(INDEX('계약'!$L$5:$L$204,MATCH($B183,'계약'!$B$5:$B$204,0)),""))</x:f>
      </x:c>
      <x:c r="L183" s="279" t="str">
        <x:f>IF($B183="","",IFERROR(INDEX('수납'!$E$5:$E$204,MATCH($B183,'수납'!$B$5:$B$204,0)),0))</x:f>
      </x:c>
      <x:c r="M183" s="35" t="str">
        <x:f>IF($B183="","",IFERROR(INDEX('수납'!$D$5:$D$204,MATCH($B183,'수납'!$B$5:$B$204,0)),0))</x:f>
      </x:c>
      <x:c r="N183" s="35" t="str">
        <x:f>IF($B183="","",IFERROR(INDEX('계약'!$M$5:$M$204,MATCH($B183,'계약'!$B$5:$B$204,0)),""))</x:f>
      </x:c>
      <x:c r="O183" s="1"/>
      <x:c r="P183" s="1"/>
      <x:c r="Q183" s="1"/>
      <x:c r="R183" s="1"/>
      <x:c r="S183" s="1"/>
      <x:c r="T183" s="1"/>
      <x:c r="U183" s="1"/>
      <x:c r="V183" s="1"/>
      <x:c r="W183" s="1"/>
      <x:c r="X183" s="1"/>
      <x:c r="Y183" s="1"/>
      <x:c r="Z183" s="1"/>
      <x:c r="AA183" s="1"/>
      <x:c r="AB183" s="1"/>
      <x:c r="AC183" s="1"/>
      <x:c r="AD183" s="1"/>
      <x:c r="AE183" s="1"/>
    </x:row>
    <x:row r="184" ht="18" customHeight="1">
      <x:c r="A184" s="273" t="str">
        <x:f>IF(B184="","",180)</x:f>
      </x:c>
      <x:c r="B184" s="35" t="str">
        <x:f>IFERROR(INDEX('자산'!$B$5:$B$204,MATCH(180,'자산'!$Z$5:$Z$204,0)),"")</x:f>
      </x:c>
      <x:c r="C184" s="35" t="str">
        <x:f>IF($B184="","",IFERROR(INDEX('자산'!$C$5:$C$204,MATCH($B184,'자산'!$B$5:$B$204,0)),""))</x:f>
      </x:c>
      <x:c r="D184" s="273" t="str">
        <x:f>IF($B184="","",IFERROR(INDEX('자산'!$D$5:$D$204,MATCH($B184,'자산'!$B$5:$B$204,0)),""))</x:f>
      </x:c>
      <x:c r="E184" s="273" t="str">
        <x:f>IF(B184="","",IF(IF($B184="","",IFERROR(INDEX('계약'!$G$5:$G$204,MATCH($B184,'계약'!$B$5:$B$204,0)),""))&lt;&gt;"","대여중","쉬는차"))</x:f>
      </x:c>
      <x:c r="F184" s="35" t="str">
        <x:f>IF($B184="","",IFERROR(INDEX('계약'!$G$5:$G$204,MATCH($B184,'계약'!$B$5:$B$204,0)),""))</x:f>
      </x:c>
      <x:c r="G184" s="276" t="str">
        <x:f>IF($B184="","",IFERROR(INDEX('계약'!$H$5:$H$204,MATCH($B184,'계약'!$B$5:$B$204,0)),""))</x:f>
      </x:c>
      <x:c r="H184" s="276" t="str">
        <x:f>IF($B184="","",IFERROR(INDEX('계약'!$I$5:$I$204,MATCH($B184,'계약'!$B$5:$B$204,0)),""))</x:f>
      </x:c>
      <x:c r="I184" s="35" t="str">
        <x:f>IF(H184="","",IF(H184&lt;'요약'!$B$2,"만료",(YEAR(H184)-YEAR('요약'!$B$2))*12+MONTH(H184)-MONTH('요약'!$B$2)))</x:f>
      </x:c>
      <x:c r="J184" s="279" t="str">
        <x:f>IF($B184="","",IFERROR(INDEX('계약'!$K$5:$K$204,MATCH($B184,'계약'!$B$5:$B$204,0)),""))</x:f>
      </x:c>
      <x:c r="K184" s="279" t="str">
        <x:f>IF($B184="","",IFERROR(INDEX('계약'!$L$5:$L$204,MATCH($B184,'계약'!$B$5:$B$204,0)),""))</x:f>
      </x:c>
      <x:c r="L184" s="279" t="str">
        <x:f>IF($B184="","",IFERROR(INDEX('수납'!$E$5:$E$204,MATCH($B184,'수납'!$B$5:$B$204,0)),0))</x:f>
      </x:c>
      <x:c r="M184" s="35" t="str">
        <x:f>IF($B184="","",IFERROR(INDEX('수납'!$D$5:$D$204,MATCH($B184,'수납'!$B$5:$B$204,0)),0))</x:f>
      </x:c>
      <x:c r="N184" s="35" t="str">
        <x:f>IF($B184="","",IFERROR(INDEX('계약'!$M$5:$M$204,MATCH($B184,'계약'!$B$5:$B$204,0)),""))</x:f>
      </x:c>
      <x:c r="O184" s="1"/>
      <x:c r="P184" s="1"/>
      <x:c r="Q184" s="1"/>
      <x:c r="R184" s="1"/>
      <x:c r="S184" s="1"/>
      <x:c r="T184" s="1"/>
      <x:c r="U184" s="1"/>
      <x:c r="V184" s="1"/>
      <x:c r="W184" s="1"/>
      <x:c r="X184" s="1"/>
      <x:c r="Y184" s="1"/>
      <x:c r="Z184" s="1"/>
      <x:c r="AA184" s="1"/>
      <x:c r="AB184" s="1"/>
      <x:c r="AC184" s="1"/>
      <x:c r="AD184" s="1"/>
      <x:c r="AE184" s="1"/>
    </x:row>
    <x:row r="185" ht="18" customHeight="1">
      <x:c r="A185" s="273" t="str">
        <x:f>IF(B185="","",181)</x:f>
      </x:c>
      <x:c r="B185" s="35" t="str">
        <x:f>IFERROR(INDEX('자산'!$B$5:$B$204,MATCH(181,'자산'!$Z$5:$Z$204,0)),"")</x:f>
      </x:c>
      <x:c r="C185" s="35" t="str">
        <x:f>IF($B185="","",IFERROR(INDEX('자산'!$C$5:$C$204,MATCH($B185,'자산'!$B$5:$B$204,0)),""))</x:f>
      </x:c>
      <x:c r="D185" s="273" t="str">
        <x:f>IF($B185="","",IFERROR(INDEX('자산'!$D$5:$D$204,MATCH($B185,'자산'!$B$5:$B$204,0)),""))</x:f>
      </x:c>
      <x:c r="E185" s="273" t="str">
        <x:f>IF(B185="","",IF(IF($B185="","",IFERROR(INDEX('계약'!$G$5:$G$204,MATCH($B185,'계약'!$B$5:$B$204,0)),""))&lt;&gt;"","대여중","쉬는차"))</x:f>
      </x:c>
      <x:c r="F185" s="35" t="str">
        <x:f>IF($B185="","",IFERROR(INDEX('계약'!$G$5:$G$204,MATCH($B185,'계약'!$B$5:$B$204,0)),""))</x:f>
      </x:c>
      <x:c r="G185" s="276" t="str">
        <x:f>IF($B185="","",IFERROR(INDEX('계약'!$H$5:$H$204,MATCH($B185,'계약'!$B$5:$B$204,0)),""))</x:f>
      </x:c>
      <x:c r="H185" s="276" t="str">
        <x:f>IF($B185="","",IFERROR(INDEX('계약'!$I$5:$I$204,MATCH($B185,'계약'!$B$5:$B$204,0)),""))</x:f>
      </x:c>
      <x:c r="I185" s="35" t="str">
        <x:f>IF(H185="","",IF(H185&lt;'요약'!$B$2,"만료",(YEAR(H185)-YEAR('요약'!$B$2))*12+MONTH(H185)-MONTH('요약'!$B$2)))</x:f>
      </x:c>
      <x:c r="J185" s="279" t="str">
        <x:f>IF($B185="","",IFERROR(INDEX('계약'!$K$5:$K$204,MATCH($B185,'계약'!$B$5:$B$204,0)),""))</x:f>
      </x:c>
      <x:c r="K185" s="279" t="str">
        <x:f>IF($B185="","",IFERROR(INDEX('계약'!$L$5:$L$204,MATCH($B185,'계약'!$B$5:$B$204,0)),""))</x:f>
      </x:c>
      <x:c r="L185" s="279" t="str">
        <x:f>IF($B185="","",IFERROR(INDEX('수납'!$E$5:$E$204,MATCH($B185,'수납'!$B$5:$B$204,0)),0))</x:f>
      </x:c>
      <x:c r="M185" s="35" t="str">
        <x:f>IF($B185="","",IFERROR(INDEX('수납'!$D$5:$D$204,MATCH($B185,'수납'!$B$5:$B$204,0)),0))</x:f>
      </x:c>
      <x:c r="N185" s="35" t="str">
        <x:f>IF($B185="","",IFERROR(INDEX('계약'!$M$5:$M$204,MATCH($B185,'계약'!$B$5:$B$204,0)),""))</x:f>
      </x:c>
      <x:c r="O185" s="1"/>
      <x:c r="P185" s="1"/>
      <x:c r="Q185" s="1"/>
      <x:c r="R185" s="1"/>
      <x:c r="S185" s="1"/>
      <x:c r="T185" s="1"/>
      <x:c r="U185" s="1"/>
      <x:c r="V185" s="1"/>
      <x:c r="W185" s="1"/>
      <x:c r="X185" s="1"/>
      <x:c r="Y185" s="1"/>
      <x:c r="Z185" s="1"/>
      <x:c r="AA185" s="1"/>
      <x:c r="AB185" s="1"/>
      <x:c r="AC185" s="1"/>
      <x:c r="AD185" s="1"/>
      <x:c r="AE185" s="1"/>
    </x:row>
    <x:row r="186" ht="18" customHeight="1">
      <x:c r="A186" s="273" t="str">
        <x:f>IF(B186="","",182)</x:f>
      </x:c>
      <x:c r="B186" s="35" t="str">
        <x:f>IFERROR(INDEX('자산'!$B$5:$B$204,MATCH(182,'자산'!$Z$5:$Z$204,0)),"")</x:f>
      </x:c>
      <x:c r="C186" s="35" t="str">
        <x:f>IF($B186="","",IFERROR(INDEX('자산'!$C$5:$C$204,MATCH($B186,'자산'!$B$5:$B$204,0)),""))</x:f>
      </x:c>
      <x:c r="D186" s="273" t="str">
        <x:f>IF($B186="","",IFERROR(INDEX('자산'!$D$5:$D$204,MATCH($B186,'자산'!$B$5:$B$204,0)),""))</x:f>
      </x:c>
      <x:c r="E186" s="273" t="str">
        <x:f>IF(B186="","",IF(IF($B186="","",IFERROR(INDEX('계약'!$G$5:$G$204,MATCH($B186,'계약'!$B$5:$B$204,0)),""))&lt;&gt;"","대여중","쉬는차"))</x:f>
      </x:c>
      <x:c r="F186" s="35" t="str">
        <x:f>IF($B186="","",IFERROR(INDEX('계약'!$G$5:$G$204,MATCH($B186,'계약'!$B$5:$B$204,0)),""))</x:f>
      </x:c>
      <x:c r="G186" s="276" t="str">
        <x:f>IF($B186="","",IFERROR(INDEX('계약'!$H$5:$H$204,MATCH($B186,'계약'!$B$5:$B$204,0)),""))</x:f>
      </x:c>
      <x:c r="H186" s="276" t="str">
        <x:f>IF($B186="","",IFERROR(INDEX('계약'!$I$5:$I$204,MATCH($B186,'계약'!$B$5:$B$204,0)),""))</x:f>
      </x:c>
      <x:c r="I186" s="35" t="str">
        <x:f>IF(H186="","",IF(H186&lt;'요약'!$B$2,"만료",(YEAR(H186)-YEAR('요약'!$B$2))*12+MONTH(H186)-MONTH('요약'!$B$2)))</x:f>
      </x:c>
      <x:c r="J186" s="279" t="str">
        <x:f>IF($B186="","",IFERROR(INDEX('계약'!$K$5:$K$204,MATCH($B186,'계약'!$B$5:$B$204,0)),""))</x:f>
      </x:c>
      <x:c r="K186" s="279" t="str">
        <x:f>IF($B186="","",IFERROR(INDEX('계약'!$L$5:$L$204,MATCH($B186,'계약'!$B$5:$B$204,0)),""))</x:f>
      </x:c>
      <x:c r="L186" s="279" t="str">
        <x:f>IF($B186="","",IFERROR(INDEX('수납'!$E$5:$E$204,MATCH($B186,'수납'!$B$5:$B$204,0)),0))</x:f>
      </x:c>
      <x:c r="M186" s="35" t="str">
        <x:f>IF($B186="","",IFERROR(INDEX('수납'!$D$5:$D$204,MATCH($B186,'수납'!$B$5:$B$204,0)),0))</x:f>
      </x:c>
      <x:c r="N186" s="35" t="str">
        <x:f>IF($B186="","",IFERROR(INDEX('계약'!$M$5:$M$204,MATCH($B186,'계약'!$B$5:$B$204,0)),""))</x:f>
      </x:c>
      <x:c r="O186" s="1"/>
      <x:c r="P186" s="1"/>
      <x:c r="Q186" s="1"/>
      <x:c r="R186" s="1"/>
      <x:c r="S186" s="1"/>
      <x:c r="T186" s="1"/>
      <x:c r="U186" s="1"/>
      <x:c r="V186" s="1"/>
      <x:c r="W186" s="1"/>
      <x:c r="X186" s="1"/>
      <x:c r="Y186" s="1"/>
      <x:c r="Z186" s="1"/>
      <x:c r="AA186" s="1"/>
      <x:c r="AB186" s="1"/>
      <x:c r="AC186" s="1"/>
      <x:c r="AD186" s="1"/>
      <x:c r="AE186" s="1"/>
    </x:row>
    <x:row r="187" ht="18" customHeight="1">
      <x:c r="A187" s="273" t="str">
        <x:f>IF(B187="","",183)</x:f>
      </x:c>
      <x:c r="B187" s="35" t="str">
        <x:f>IFERROR(INDEX('자산'!$B$5:$B$204,MATCH(183,'자산'!$Z$5:$Z$204,0)),"")</x:f>
      </x:c>
      <x:c r="C187" s="35" t="str">
        <x:f>IF($B187="","",IFERROR(INDEX('자산'!$C$5:$C$204,MATCH($B187,'자산'!$B$5:$B$204,0)),""))</x:f>
      </x:c>
      <x:c r="D187" s="273" t="str">
        <x:f>IF($B187="","",IFERROR(INDEX('자산'!$D$5:$D$204,MATCH($B187,'자산'!$B$5:$B$204,0)),""))</x:f>
      </x:c>
      <x:c r="E187" s="273" t="str">
        <x:f>IF(B187="","",IF(IF($B187="","",IFERROR(INDEX('계약'!$G$5:$G$204,MATCH($B187,'계약'!$B$5:$B$204,0)),""))&lt;&gt;"","대여중","쉬는차"))</x:f>
      </x:c>
      <x:c r="F187" s="35" t="str">
        <x:f>IF($B187="","",IFERROR(INDEX('계약'!$G$5:$G$204,MATCH($B187,'계약'!$B$5:$B$204,0)),""))</x:f>
      </x:c>
      <x:c r="G187" s="276" t="str">
        <x:f>IF($B187="","",IFERROR(INDEX('계약'!$H$5:$H$204,MATCH($B187,'계약'!$B$5:$B$204,0)),""))</x:f>
      </x:c>
      <x:c r="H187" s="276" t="str">
        <x:f>IF($B187="","",IFERROR(INDEX('계약'!$I$5:$I$204,MATCH($B187,'계약'!$B$5:$B$204,0)),""))</x:f>
      </x:c>
      <x:c r="I187" s="35" t="str">
        <x:f>IF(H187="","",IF(H187&lt;'요약'!$B$2,"만료",(YEAR(H187)-YEAR('요약'!$B$2))*12+MONTH(H187)-MONTH('요약'!$B$2)))</x:f>
      </x:c>
      <x:c r="J187" s="279" t="str">
        <x:f>IF($B187="","",IFERROR(INDEX('계약'!$K$5:$K$204,MATCH($B187,'계약'!$B$5:$B$204,0)),""))</x:f>
      </x:c>
      <x:c r="K187" s="279" t="str">
        <x:f>IF($B187="","",IFERROR(INDEX('계약'!$L$5:$L$204,MATCH($B187,'계약'!$B$5:$B$204,0)),""))</x:f>
      </x:c>
      <x:c r="L187" s="279" t="str">
        <x:f>IF($B187="","",IFERROR(INDEX('수납'!$E$5:$E$204,MATCH($B187,'수납'!$B$5:$B$204,0)),0))</x:f>
      </x:c>
      <x:c r="M187" s="35" t="str">
        <x:f>IF($B187="","",IFERROR(INDEX('수납'!$D$5:$D$204,MATCH($B187,'수납'!$B$5:$B$204,0)),0))</x:f>
      </x:c>
      <x:c r="N187" s="35" t="str">
        <x:f>IF($B187="","",IFERROR(INDEX('계약'!$M$5:$M$204,MATCH($B187,'계약'!$B$5:$B$204,0)),""))</x:f>
      </x:c>
      <x:c r="O187" s="1"/>
      <x:c r="P187" s="1"/>
      <x:c r="Q187" s="1"/>
      <x:c r="R187" s="1"/>
      <x:c r="S187" s="1"/>
      <x:c r="T187" s="1"/>
      <x:c r="U187" s="1"/>
      <x:c r="V187" s="1"/>
      <x:c r="W187" s="1"/>
      <x:c r="X187" s="1"/>
      <x:c r="Y187" s="1"/>
      <x:c r="Z187" s="1"/>
      <x:c r="AA187" s="1"/>
      <x:c r="AB187" s="1"/>
      <x:c r="AC187" s="1"/>
      <x:c r="AD187" s="1"/>
      <x:c r="AE187" s="1"/>
    </x:row>
    <x:row r="188" ht="18" customHeight="1">
      <x:c r="A188" s="273" t="str">
        <x:f>IF(B188="","",184)</x:f>
      </x:c>
      <x:c r="B188" s="35" t="str">
        <x:f>IFERROR(INDEX('자산'!$B$5:$B$204,MATCH(184,'자산'!$Z$5:$Z$204,0)),"")</x:f>
      </x:c>
      <x:c r="C188" s="35" t="str">
        <x:f>IF($B188="","",IFERROR(INDEX('자산'!$C$5:$C$204,MATCH($B188,'자산'!$B$5:$B$204,0)),""))</x:f>
      </x:c>
      <x:c r="D188" s="273" t="str">
        <x:f>IF($B188="","",IFERROR(INDEX('자산'!$D$5:$D$204,MATCH($B188,'자산'!$B$5:$B$204,0)),""))</x:f>
      </x:c>
      <x:c r="E188" s="273" t="str">
        <x:f>IF(B188="","",IF(IF($B188="","",IFERROR(INDEX('계약'!$G$5:$G$204,MATCH($B188,'계약'!$B$5:$B$204,0)),""))&lt;&gt;"","대여중","쉬는차"))</x:f>
      </x:c>
      <x:c r="F188" s="35" t="str">
        <x:f>IF($B188="","",IFERROR(INDEX('계약'!$G$5:$G$204,MATCH($B188,'계약'!$B$5:$B$204,0)),""))</x:f>
      </x:c>
      <x:c r="G188" s="276" t="str">
        <x:f>IF($B188="","",IFERROR(INDEX('계약'!$H$5:$H$204,MATCH($B188,'계약'!$B$5:$B$204,0)),""))</x:f>
      </x:c>
      <x:c r="H188" s="276" t="str">
        <x:f>IF($B188="","",IFERROR(INDEX('계약'!$I$5:$I$204,MATCH($B188,'계약'!$B$5:$B$204,0)),""))</x:f>
      </x:c>
      <x:c r="I188" s="35" t="str">
        <x:f>IF(H188="","",IF(H188&lt;'요약'!$B$2,"만료",(YEAR(H188)-YEAR('요약'!$B$2))*12+MONTH(H188)-MONTH('요약'!$B$2)))</x:f>
      </x:c>
      <x:c r="J188" s="279" t="str">
        <x:f>IF($B188="","",IFERROR(INDEX('계약'!$K$5:$K$204,MATCH($B188,'계약'!$B$5:$B$204,0)),""))</x:f>
      </x:c>
      <x:c r="K188" s="279" t="str">
        <x:f>IF($B188="","",IFERROR(INDEX('계약'!$L$5:$L$204,MATCH($B188,'계약'!$B$5:$B$204,0)),""))</x:f>
      </x:c>
      <x:c r="L188" s="279" t="str">
        <x:f>IF($B188="","",IFERROR(INDEX('수납'!$E$5:$E$204,MATCH($B188,'수납'!$B$5:$B$204,0)),0))</x:f>
      </x:c>
      <x:c r="M188" s="35" t="str">
        <x:f>IF($B188="","",IFERROR(INDEX('수납'!$D$5:$D$204,MATCH($B188,'수납'!$B$5:$B$204,0)),0))</x:f>
      </x:c>
      <x:c r="N188" s="35" t="str">
        <x:f>IF($B188="","",IFERROR(INDEX('계약'!$M$5:$M$204,MATCH($B188,'계약'!$B$5:$B$204,0)),""))</x:f>
      </x:c>
      <x:c r="O188" s="1"/>
      <x:c r="P188" s="1"/>
      <x:c r="Q188" s="1"/>
      <x:c r="R188" s="1"/>
      <x:c r="S188" s="1"/>
      <x:c r="T188" s="1"/>
      <x:c r="U188" s="1"/>
      <x:c r="V188" s="1"/>
      <x:c r="W188" s="1"/>
      <x:c r="X188" s="1"/>
      <x:c r="Y188" s="1"/>
      <x:c r="Z188" s="1"/>
      <x:c r="AA188" s="1"/>
      <x:c r="AB188" s="1"/>
      <x:c r="AC188" s="1"/>
      <x:c r="AD188" s="1"/>
      <x:c r="AE188" s="1"/>
    </x:row>
    <x:row r="189" ht="18" customHeight="1">
      <x:c r="A189" s="273" t="str">
        <x:f>IF(B189="","",185)</x:f>
      </x:c>
      <x:c r="B189" s="35" t="str">
        <x:f>IFERROR(INDEX('자산'!$B$5:$B$204,MATCH(185,'자산'!$Z$5:$Z$204,0)),"")</x:f>
      </x:c>
      <x:c r="C189" s="35" t="str">
        <x:f>IF($B189="","",IFERROR(INDEX('자산'!$C$5:$C$204,MATCH($B189,'자산'!$B$5:$B$204,0)),""))</x:f>
      </x:c>
      <x:c r="D189" s="273" t="str">
        <x:f>IF($B189="","",IFERROR(INDEX('자산'!$D$5:$D$204,MATCH($B189,'자산'!$B$5:$B$204,0)),""))</x:f>
      </x:c>
      <x:c r="E189" s="273" t="str">
        <x:f>IF(B189="","",IF(IF($B189="","",IFERROR(INDEX('계약'!$G$5:$G$204,MATCH($B189,'계약'!$B$5:$B$204,0)),""))&lt;&gt;"","대여중","쉬는차"))</x:f>
      </x:c>
      <x:c r="F189" s="35" t="str">
        <x:f>IF($B189="","",IFERROR(INDEX('계약'!$G$5:$G$204,MATCH($B189,'계약'!$B$5:$B$204,0)),""))</x:f>
      </x:c>
      <x:c r="G189" s="276" t="str">
        <x:f>IF($B189="","",IFERROR(INDEX('계약'!$H$5:$H$204,MATCH($B189,'계약'!$B$5:$B$204,0)),""))</x:f>
      </x:c>
      <x:c r="H189" s="276" t="str">
        <x:f>IF($B189="","",IFERROR(INDEX('계약'!$I$5:$I$204,MATCH($B189,'계약'!$B$5:$B$204,0)),""))</x:f>
      </x:c>
      <x:c r="I189" s="35" t="str">
        <x:f>IF(H189="","",IF(H189&lt;'요약'!$B$2,"만료",(YEAR(H189)-YEAR('요약'!$B$2))*12+MONTH(H189)-MONTH('요약'!$B$2)))</x:f>
      </x:c>
      <x:c r="J189" s="279" t="str">
        <x:f>IF($B189="","",IFERROR(INDEX('계약'!$K$5:$K$204,MATCH($B189,'계약'!$B$5:$B$204,0)),""))</x:f>
      </x:c>
      <x:c r="K189" s="279" t="str">
        <x:f>IF($B189="","",IFERROR(INDEX('계약'!$L$5:$L$204,MATCH($B189,'계약'!$B$5:$B$204,0)),""))</x:f>
      </x:c>
      <x:c r="L189" s="279" t="str">
        <x:f>IF($B189="","",IFERROR(INDEX('수납'!$E$5:$E$204,MATCH($B189,'수납'!$B$5:$B$204,0)),0))</x:f>
      </x:c>
      <x:c r="M189" s="35" t="str">
        <x:f>IF($B189="","",IFERROR(INDEX('수납'!$D$5:$D$204,MATCH($B189,'수납'!$B$5:$B$204,0)),0))</x:f>
      </x:c>
      <x:c r="N189" s="35" t="str">
        <x:f>IF($B189="","",IFERROR(INDEX('계약'!$M$5:$M$204,MATCH($B189,'계약'!$B$5:$B$204,0)),""))</x:f>
      </x:c>
      <x:c r="O189" s="1"/>
      <x:c r="P189" s="1"/>
      <x:c r="Q189" s="1"/>
      <x:c r="R189" s="1"/>
      <x:c r="S189" s="1"/>
      <x:c r="T189" s="1"/>
      <x:c r="U189" s="1"/>
      <x:c r="V189" s="1"/>
      <x:c r="W189" s="1"/>
      <x:c r="X189" s="1"/>
      <x:c r="Y189" s="1"/>
      <x:c r="Z189" s="1"/>
      <x:c r="AA189" s="1"/>
      <x:c r="AB189" s="1"/>
      <x:c r="AC189" s="1"/>
      <x:c r="AD189" s="1"/>
      <x:c r="AE189" s="1"/>
    </x:row>
    <x:row r="190" ht="18" customHeight="1">
      <x:c r="A190" s="273" t="str">
        <x:f>IF(B190="","",186)</x:f>
      </x:c>
      <x:c r="B190" s="35" t="str">
        <x:f>IFERROR(INDEX('자산'!$B$5:$B$204,MATCH(186,'자산'!$Z$5:$Z$204,0)),"")</x:f>
      </x:c>
      <x:c r="C190" s="35" t="str">
        <x:f>IF($B190="","",IFERROR(INDEX('자산'!$C$5:$C$204,MATCH($B190,'자산'!$B$5:$B$204,0)),""))</x:f>
      </x:c>
      <x:c r="D190" s="273" t="str">
        <x:f>IF($B190="","",IFERROR(INDEX('자산'!$D$5:$D$204,MATCH($B190,'자산'!$B$5:$B$204,0)),""))</x:f>
      </x:c>
      <x:c r="E190" s="273" t="str">
        <x:f>IF(B190="","",IF(IF($B190="","",IFERROR(INDEX('계약'!$G$5:$G$204,MATCH($B190,'계약'!$B$5:$B$204,0)),""))&lt;&gt;"","대여중","쉬는차"))</x:f>
      </x:c>
      <x:c r="F190" s="35" t="str">
        <x:f>IF($B190="","",IFERROR(INDEX('계약'!$G$5:$G$204,MATCH($B190,'계약'!$B$5:$B$204,0)),""))</x:f>
      </x:c>
      <x:c r="G190" s="276" t="str">
        <x:f>IF($B190="","",IFERROR(INDEX('계약'!$H$5:$H$204,MATCH($B190,'계약'!$B$5:$B$204,0)),""))</x:f>
      </x:c>
      <x:c r="H190" s="276" t="str">
        <x:f>IF($B190="","",IFERROR(INDEX('계약'!$I$5:$I$204,MATCH($B190,'계약'!$B$5:$B$204,0)),""))</x:f>
      </x:c>
      <x:c r="I190" s="35" t="str">
        <x:f>IF(H190="","",IF(H190&lt;'요약'!$B$2,"만료",(YEAR(H190)-YEAR('요약'!$B$2))*12+MONTH(H190)-MONTH('요약'!$B$2)))</x:f>
      </x:c>
      <x:c r="J190" s="279" t="str">
        <x:f>IF($B190="","",IFERROR(INDEX('계약'!$K$5:$K$204,MATCH($B190,'계약'!$B$5:$B$204,0)),""))</x:f>
      </x:c>
      <x:c r="K190" s="279" t="str">
        <x:f>IF($B190="","",IFERROR(INDEX('계약'!$L$5:$L$204,MATCH($B190,'계약'!$B$5:$B$204,0)),""))</x:f>
      </x:c>
      <x:c r="L190" s="279" t="str">
        <x:f>IF($B190="","",IFERROR(INDEX('수납'!$E$5:$E$204,MATCH($B190,'수납'!$B$5:$B$204,0)),0))</x:f>
      </x:c>
      <x:c r="M190" s="35" t="str">
        <x:f>IF($B190="","",IFERROR(INDEX('수납'!$D$5:$D$204,MATCH($B190,'수납'!$B$5:$B$204,0)),0))</x:f>
      </x:c>
      <x:c r="N190" s="35" t="str">
        <x:f>IF($B190="","",IFERROR(INDEX('계약'!$M$5:$M$204,MATCH($B190,'계약'!$B$5:$B$204,0)),""))</x:f>
      </x:c>
      <x:c r="O190" s="1"/>
      <x:c r="P190" s="1"/>
      <x:c r="Q190" s="1"/>
      <x:c r="R190" s="1"/>
      <x:c r="S190" s="1"/>
      <x:c r="T190" s="1"/>
      <x:c r="U190" s="1"/>
      <x:c r="V190" s="1"/>
      <x:c r="W190" s="1"/>
      <x:c r="X190" s="1"/>
      <x:c r="Y190" s="1"/>
      <x:c r="Z190" s="1"/>
      <x:c r="AA190" s="1"/>
      <x:c r="AB190" s="1"/>
      <x:c r="AC190" s="1"/>
      <x:c r="AD190" s="1"/>
      <x:c r="AE190" s="1"/>
    </x:row>
    <x:row r="191" ht="18" customHeight="1">
      <x:c r="A191" s="273" t="str">
        <x:f>IF(B191="","",187)</x:f>
      </x:c>
      <x:c r="B191" s="35" t="str">
        <x:f>IFERROR(INDEX('자산'!$B$5:$B$204,MATCH(187,'자산'!$Z$5:$Z$204,0)),"")</x:f>
      </x:c>
      <x:c r="C191" s="35" t="str">
        <x:f>IF($B191="","",IFERROR(INDEX('자산'!$C$5:$C$204,MATCH($B191,'자산'!$B$5:$B$204,0)),""))</x:f>
      </x:c>
      <x:c r="D191" s="273" t="str">
        <x:f>IF($B191="","",IFERROR(INDEX('자산'!$D$5:$D$204,MATCH($B191,'자산'!$B$5:$B$204,0)),""))</x:f>
      </x:c>
      <x:c r="E191" s="273" t="str">
        <x:f>IF(B191="","",IF(IF($B191="","",IFERROR(INDEX('계약'!$G$5:$G$204,MATCH($B191,'계약'!$B$5:$B$204,0)),""))&lt;&gt;"","대여중","쉬는차"))</x:f>
      </x:c>
      <x:c r="F191" s="35" t="str">
        <x:f>IF($B191="","",IFERROR(INDEX('계약'!$G$5:$G$204,MATCH($B191,'계약'!$B$5:$B$204,0)),""))</x:f>
      </x:c>
      <x:c r="G191" s="276" t="str">
        <x:f>IF($B191="","",IFERROR(INDEX('계약'!$H$5:$H$204,MATCH($B191,'계약'!$B$5:$B$204,0)),""))</x:f>
      </x:c>
      <x:c r="H191" s="276" t="str">
        <x:f>IF($B191="","",IFERROR(INDEX('계약'!$I$5:$I$204,MATCH($B191,'계약'!$B$5:$B$204,0)),""))</x:f>
      </x:c>
      <x:c r="I191" s="35" t="str">
        <x:f>IF(H191="","",IF(H191&lt;'요약'!$B$2,"만료",(YEAR(H191)-YEAR('요약'!$B$2))*12+MONTH(H191)-MONTH('요약'!$B$2)))</x:f>
      </x:c>
      <x:c r="J191" s="279" t="str">
        <x:f>IF($B191="","",IFERROR(INDEX('계약'!$K$5:$K$204,MATCH($B191,'계약'!$B$5:$B$204,0)),""))</x:f>
      </x:c>
      <x:c r="K191" s="279" t="str">
        <x:f>IF($B191="","",IFERROR(INDEX('계약'!$L$5:$L$204,MATCH($B191,'계약'!$B$5:$B$204,0)),""))</x:f>
      </x:c>
      <x:c r="L191" s="279" t="str">
        <x:f>IF($B191="","",IFERROR(INDEX('수납'!$E$5:$E$204,MATCH($B191,'수납'!$B$5:$B$204,0)),0))</x:f>
      </x:c>
      <x:c r="M191" s="35" t="str">
        <x:f>IF($B191="","",IFERROR(INDEX('수납'!$D$5:$D$204,MATCH($B191,'수납'!$B$5:$B$204,0)),0))</x:f>
      </x:c>
      <x:c r="N191" s="35" t="str">
        <x:f>IF($B191="","",IFERROR(INDEX('계약'!$M$5:$M$204,MATCH($B191,'계약'!$B$5:$B$204,0)),""))</x:f>
      </x:c>
      <x:c r="O191" s="1"/>
      <x:c r="P191" s="1"/>
      <x:c r="Q191" s="1"/>
      <x:c r="R191" s="1"/>
      <x:c r="S191" s="1"/>
      <x:c r="T191" s="1"/>
      <x:c r="U191" s="1"/>
      <x:c r="V191" s="1"/>
      <x:c r="W191" s="1"/>
      <x:c r="X191" s="1"/>
      <x:c r="Y191" s="1"/>
      <x:c r="Z191" s="1"/>
      <x:c r="AA191" s="1"/>
      <x:c r="AB191" s="1"/>
      <x:c r="AC191" s="1"/>
      <x:c r="AD191" s="1"/>
      <x:c r="AE191" s="1"/>
    </x:row>
    <x:row r="192" ht="18" customHeight="1">
      <x:c r="A192" s="273" t="str">
        <x:f>IF(B192="","",188)</x:f>
      </x:c>
      <x:c r="B192" s="35" t="str">
        <x:f>IFERROR(INDEX('자산'!$B$5:$B$204,MATCH(188,'자산'!$Z$5:$Z$204,0)),"")</x:f>
      </x:c>
      <x:c r="C192" s="35" t="str">
        <x:f>IF($B192="","",IFERROR(INDEX('자산'!$C$5:$C$204,MATCH($B192,'자산'!$B$5:$B$204,0)),""))</x:f>
      </x:c>
      <x:c r="D192" s="273" t="str">
        <x:f>IF($B192="","",IFERROR(INDEX('자산'!$D$5:$D$204,MATCH($B192,'자산'!$B$5:$B$204,0)),""))</x:f>
      </x:c>
      <x:c r="E192" s="273" t="str">
        <x:f>IF(B192="","",IF(IF($B192="","",IFERROR(INDEX('계약'!$G$5:$G$204,MATCH($B192,'계약'!$B$5:$B$204,0)),""))&lt;&gt;"","대여중","쉬는차"))</x:f>
      </x:c>
      <x:c r="F192" s="35" t="str">
        <x:f>IF($B192="","",IFERROR(INDEX('계약'!$G$5:$G$204,MATCH($B192,'계약'!$B$5:$B$204,0)),""))</x:f>
      </x:c>
      <x:c r="G192" s="276" t="str">
        <x:f>IF($B192="","",IFERROR(INDEX('계약'!$H$5:$H$204,MATCH($B192,'계약'!$B$5:$B$204,0)),""))</x:f>
      </x:c>
      <x:c r="H192" s="276" t="str">
        <x:f>IF($B192="","",IFERROR(INDEX('계약'!$I$5:$I$204,MATCH($B192,'계약'!$B$5:$B$204,0)),""))</x:f>
      </x:c>
      <x:c r="I192" s="35" t="str">
        <x:f>IF(H192="","",IF(H192&lt;'요약'!$B$2,"만료",(YEAR(H192)-YEAR('요약'!$B$2))*12+MONTH(H192)-MONTH('요약'!$B$2)))</x:f>
      </x:c>
      <x:c r="J192" s="279" t="str">
        <x:f>IF($B192="","",IFERROR(INDEX('계약'!$K$5:$K$204,MATCH($B192,'계약'!$B$5:$B$204,0)),""))</x:f>
      </x:c>
      <x:c r="K192" s="279" t="str">
        <x:f>IF($B192="","",IFERROR(INDEX('계약'!$L$5:$L$204,MATCH($B192,'계약'!$B$5:$B$204,0)),""))</x:f>
      </x:c>
      <x:c r="L192" s="279" t="str">
        <x:f>IF($B192="","",IFERROR(INDEX('수납'!$E$5:$E$204,MATCH($B192,'수납'!$B$5:$B$204,0)),0))</x:f>
      </x:c>
      <x:c r="M192" s="35" t="str">
        <x:f>IF($B192="","",IFERROR(INDEX('수납'!$D$5:$D$204,MATCH($B192,'수납'!$B$5:$B$204,0)),0))</x:f>
      </x:c>
      <x:c r="N192" s="35" t="str">
        <x:f>IF($B192="","",IFERROR(INDEX('계약'!$M$5:$M$204,MATCH($B192,'계약'!$B$5:$B$204,0)),""))</x:f>
      </x:c>
      <x:c r="O192" s="1"/>
      <x:c r="P192" s="1"/>
      <x:c r="Q192" s="1"/>
      <x:c r="R192" s="1"/>
      <x:c r="S192" s="1"/>
      <x:c r="T192" s="1"/>
      <x:c r="U192" s="1"/>
      <x:c r="V192" s="1"/>
      <x:c r="W192" s="1"/>
      <x:c r="X192" s="1"/>
      <x:c r="Y192" s="1"/>
      <x:c r="Z192" s="1"/>
      <x:c r="AA192" s="1"/>
      <x:c r="AB192" s="1"/>
      <x:c r="AC192" s="1"/>
      <x:c r="AD192" s="1"/>
      <x:c r="AE192" s="1"/>
    </x:row>
    <x:row r="193" ht="18" customHeight="1">
      <x:c r="A193" s="273" t="str">
        <x:f>IF(B193="","",189)</x:f>
      </x:c>
      <x:c r="B193" s="35" t="str">
        <x:f>IFERROR(INDEX('자산'!$B$5:$B$204,MATCH(189,'자산'!$Z$5:$Z$204,0)),"")</x:f>
      </x:c>
      <x:c r="C193" s="35" t="str">
        <x:f>IF($B193="","",IFERROR(INDEX('자산'!$C$5:$C$204,MATCH($B193,'자산'!$B$5:$B$204,0)),""))</x:f>
      </x:c>
      <x:c r="D193" s="273" t="str">
        <x:f>IF($B193="","",IFERROR(INDEX('자산'!$D$5:$D$204,MATCH($B193,'자산'!$B$5:$B$204,0)),""))</x:f>
      </x:c>
      <x:c r="E193" s="273" t="str">
        <x:f>IF(B193="","",IF(IF($B193="","",IFERROR(INDEX('계약'!$G$5:$G$204,MATCH($B193,'계약'!$B$5:$B$204,0)),""))&lt;&gt;"","대여중","쉬는차"))</x:f>
      </x:c>
      <x:c r="F193" s="35" t="str">
        <x:f>IF($B193="","",IFERROR(INDEX('계약'!$G$5:$G$204,MATCH($B193,'계약'!$B$5:$B$204,0)),""))</x:f>
      </x:c>
      <x:c r="G193" s="276" t="str">
        <x:f>IF($B193="","",IFERROR(INDEX('계약'!$H$5:$H$204,MATCH($B193,'계약'!$B$5:$B$204,0)),""))</x:f>
      </x:c>
      <x:c r="H193" s="276" t="str">
        <x:f>IF($B193="","",IFERROR(INDEX('계약'!$I$5:$I$204,MATCH($B193,'계약'!$B$5:$B$204,0)),""))</x:f>
      </x:c>
      <x:c r="I193" s="35" t="str">
        <x:f>IF(H193="","",IF(H193&lt;'요약'!$B$2,"만료",(YEAR(H193)-YEAR('요약'!$B$2))*12+MONTH(H193)-MONTH('요약'!$B$2)))</x:f>
      </x:c>
      <x:c r="J193" s="279" t="str">
        <x:f>IF($B193="","",IFERROR(INDEX('계약'!$K$5:$K$204,MATCH($B193,'계약'!$B$5:$B$204,0)),""))</x:f>
      </x:c>
      <x:c r="K193" s="279" t="str">
        <x:f>IF($B193="","",IFERROR(INDEX('계약'!$L$5:$L$204,MATCH($B193,'계약'!$B$5:$B$204,0)),""))</x:f>
      </x:c>
      <x:c r="L193" s="279" t="str">
        <x:f>IF($B193="","",IFERROR(INDEX('수납'!$E$5:$E$204,MATCH($B193,'수납'!$B$5:$B$204,0)),0))</x:f>
      </x:c>
      <x:c r="M193" s="35" t="str">
        <x:f>IF($B193="","",IFERROR(INDEX('수납'!$D$5:$D$204,MATCH($B193,'수납'!$B$5:$B$204,0)),0))</x:f>
      </x:c>
      <x:c r="N193" s="35" t="str">
        <x:f>IF($B193="","",IFERROR(INDEX('계약'!$M$5:$M$204,MATCH($B193,'계약'!$B$5:$B$204,0)),""))</x:f>
      </x:c>
      <x:c r="O193" s="1"/>
      <x:c r="P193" s="1"/>
      <x:c r="Q193" s="1"/>
      <x:c r="R193" s="1"/>
      <x:c r="S193" s="1"/>
      <x:c r="T193" s="1"/>
      <x:c r="U193" s="1"/>
      <x:c r="V193" s="1"/>
      <x:c r="W193" s="1"/>
      <x:c r="X193" s="1"/>
      <x:c r="Y193" s="1"/>
      <x:c r="Z193" s="1"/>
      <x:c r="AA193" s="1"/>
      <x:c r="AB193" s="1"/>
      <x:c r="AC193" s="1"/>
      <x:c r="AD193" s="1"/>
      <x:c r="AE193" s="1"/>
    </x:row>
    <x:row r="194" ht="18" customHeight="1">
      <x:c r="A194" s="273" t="str">
        <x:f>IF(B194="","",190)</x:f>
      </x:c>
      <x:c r="B194" s="35" t="str">
        <x:f>IFERROR(INDEX('자산'!$B$5:$B$204,MATCH(190,'자산'!$Z$5:$Z$204,0)),"")</x:f>
      </x:c>
      <x:c r="C194" s="35" t="str">
        <x:f>IF($B194="","",IFERROR(INDEX('자산'!$C$5:$C$204,MATCH($B194,'자산'!$B$5:$B$204,0)),""))</x:f>
      </x:c>
      <x:c r="D194" s="273" t="str">
        <x:f>IF($B194="","",IFERROR(INDEX('자산'!$D$5:$D$204,MATCH($B194,'자산'!$B$5:$B$204,0)),""))</x:f>
      </x:c>
      <x:c r="E194" s="273" t="str">
        <x:f>IF(B194="","",IF(IF($B194="","",IFERROR(INDEX('계약'!$G$5:$G$204,MATCH($B194,'계약'!$B$5:$B$204,0)),""))&lt;&gt;"","대여중","쉬는차"))</x:f>
      </x:c>
      <x:c r="F194" s="35" t="str">
        <x:f>IF($B194="","",IFERROR(INDEX('계약'!$G$5:$G$204,MATCH($B194,'계약'!$B$5:$B$204,0)),""))</x:f>
      </x:c>
      <x:c r="G194" s="276" t="str">
        <x:f>IF($B194="","",IFERROR(INDEX('계약'!$H$5:$H$204,MATCH($B194,'계약'!$B$5:$B$204,0)),""))</x:f>
      </x:c>
      <x:c r="H194" s="276" t="str">
        <x:f>IF($B194="","",IFERROR(INDEX('계약'!$I$5:$I$204,MATCH($B194,'계약'!$B$5:$B$204,0)),""))</x:f>
      </x:c>
      <x:c r="I194" s="35" t="str">
        <x:f>IF(H194="","",IF(H194&lt;'요약'!$B$2,"만료",(YEAR(H194)-YEAR('요약'!$B$2))*12+MONTH(H194)-MONTH('요약'!$B$2)))</x:f>
      </x:c>
      <x:c r="J194" s="279" t="str">
        <x:f>IF($B194="","",IFERROR(INDEX('계약'!$K$5:$K$204,MATCH($B194,'계약'!$B$5:$B$204,0)),""))</x:f>
      </x:c>
      <x:c r="K194" s="279" t="str">
        <x:f>IF($B194="","",IFERROR(INDEX('계약'!$L$5:$L$204,MATCH($B194,'계약'!$B$5:$B$204,0)),""))</x:f>
      </x:c>
      <x:c r="L194" s="279" t="str">
        <x:f>IF($B194="","",IFERROR(INDEX('수납'!$E$5:$E$204,MATCH($B194,'수납'!$B$5:$B$204,0)),0))</x:f>
      </x:c>
      <x:c r="M194" s="35" t="str">
        <x:f>IF($B194="","",IFERROR(INDEX('수납'!$D$5:$D$204,MATCH($B194,'수납'!$B$5:$B$204,0)),0))</x:f>
      </x:c>
      <x:c r="N194" s="35" t="str">
        <x:f>IF($B194="","",IFERROR(INDEX('계약'!$M$5:$M$204,MATCH($B194,'계약'!$B$5:$B$204,0)),""))</x:f>
      </x:c>
      <x:c r="O194" s="1"/>
      <x:c r="P194" s="1"/>
      <x:c r="Q194" s="1"/>
      <x:c r="R194" s="1"/>
      <x:c r="S194" s="1"/>
      <x:c r="T194" s="1"/>
      <x:c r="U194" s="1"/>
      <x:c r="V194" s="1"/>
      <x:c r="W194" s="1"/>
      <x:c r="X194" s="1"/>
      <x:c r="Y194" s="1"/>
      <x:c r="Z194" s="1"/>
      <x:c r="AA194" s="1"/>
      <x:c r="AB194" s="1"/>
      <x:c r="AC194" s="1"/>
      <x:c r="AD194" s="1"/>
      <x:c r="AE194" s="1"/>
    </x:row>
    <x:row r="195" ht="18" customHeight="1">
      <x:c r="A195" s="273" t="str">
        <x:f>IF(B195="","",191)</x:f>
      </x:c>
      <x:c r="B195" s="35" t="str">
        <x:f>IFERROR(INDEX('자산'!$B$5:$B$204,MATCH(191,'자산'!$Z$5:$Z$204,0)),"")</x:f>
      </x:c>
      <x:c r="C195" s="35" t="str">
        <x:f>IF($B195="","",IFERROR(INDEX('자산'!$C$5:$C$204,MATCH($B195,'자산'!$B$5:$B$204,0)),""))</x:f>
      </x:c>
      <x:c r="D195" s="273" t="str">
        <x:f>IF($B195="","",IFERROR(INDEX('자산'!$D$5:$D$204,MATCH($B195,'자산'!$B$5:$B$204,0)),""))</x:f>
      </x:c>
      <x:c r="E195" s="273" t="str">
        <x:f>IF(B195="","",IF(IF($B195="","",IFERROR(INDEX('계약'!$G$5:$G$204,MATCH($B195,'계약'!$B$5:$B$204,0)),""))&lt;&gt;"","대여중","쉬는차"))</x:f>
      </x:c>
      <x:c r="F195" s="35" t="str">
        <x:f>IF($B195="","",IFERROR(INDEX('계약'!$G$5:$G$204,MATCH($B195,'계약'!$B$5:$B$204,0)),""))</x:f>
      </x:c>
      <x:c r="G195" s="276" t="str">
        <x:f>IF($B195="","",IFERROR(INDEX('계약'!$H$5:$H$204,MATCH($B195,'계약'!$B$5:$B$204,0)),""))</x:f>
      </x:c>
      <x:c r="H195" s="276" t="str">
        <x:f>IF($B195="","",IFERROR(INDEX('계약'!$I$5:$I$204,MATCH($B195,'계약'!$B$5:$B$204,0)),""))</x:f>
      </x:c>
      <x:c r="I195" s="35" t="str">
        <x:f>IF(H195="","",IF(H195&lt;'요약'!$B$2,"만료",(YEAR(H195)-YEAR('요약'!$B$2))*12+MONTH(H195)-MONTH('요약'!$B$2)))</x:f>
      </x:c>
      <x:c r="J195" s="279" t="str">
        <x:f>IF($B195="","",IFERROR(INDEX('계약'!$K$5:$K$204,MATCH($B195,'계약'!$B$5:$B$204,0)),""))</x:f>
      </x:c>
      <x:c r="K195" s="279" t="str">
        <x:f>IF($B195="","",IFERROR(INDEX('계약'!$L$5:$L$204,MATCH($B195,'계약'!$B$5:$B$204,0)),""))</x:f>
      </x:c>
      <x:c r="L195" s="279" t="str">
        <x:f>IF($B195="","",IFERROR(INDEX('수납'!$E$5:$E$204,MATCH($B195,'수납'!$B$5:$B$204,0)),0))</x:f>
      </x:c>
      <x:c r="M195" s="35" t="str">
        <x:f>IF($B195="","",IFERROR(INDEX('수납'!$D$5:$D$204,MATCH($B195,'수납'!$B$5:$B$204,0)),0))</x:f>
      </x:c>
      <x:c r="N195" s="35" t="str">
        <x:f>IF($B195="","",IFERROR(INDEX('계약'!$M$5:$M$204,MATCH($B195,'계약'!$B$5:$B$204,0)),""))</x:f>
      </x:c>
      <x:c r="O195" s="1"/>
      <x:c r="P195" s="1"/>
      <x:c r="Q195" s="1"/>
      <x:c r="R195" s="1"/>
      <x:c r="S195" s="1"/>
      <x:c r="T195" s="1"/>
      <x:c r="U195" s="1"/>
      <x:c r="V195" s="1"/>
      <x:c r="W195" s="1"/>
      <x:c r="X195" s="1"/>
      <x:c r="Y195" s="1"/>
      <x:c r="Z195" s="1"/>
      <x:c r="AA195" s="1"/>
      <x:c r="AB195" s="1"/>
      <x:c r="AC195" s="1"/>
      <x:c r="AD195" s="1"/>
      <x:c r="AE195" s="1"/>
    </x:row>
    <x:row r="196" ht="18" customHeight="1">
      <x:c r="A196" s="273" t="str">
        <x:f>IF(B196="","",192)</x:f>
      </x:c>
      <x:c r="B196" s="35" t="str">
        <x:f>IFERROR(INDEX('자산'!$B$5:$B$204,MATCH(192,'자산'!$Z$5:$Z$204,0)),"")</x:f>
      </x:c>
      <x:c r="C196" s="35" t="str">
        <x:f>IF($B196="","",IFERROR(INDEX('자산'!$C$5:$C$204,MATCH($B196,'자산'!$B$5:$B$204,0)),""))</x:f>
      </x:c>
      <x:c r="D196" s="273" t="str">
        <x:f>IF($B196="","",IFERROR(INDEX('자산'!$D$5:$D$204,MATCH($B196,'자산'!$B$5:$B$204,0)),""))</x:f>
      </x:c>
      <x:c r="E196" s="273" t="str">
        <x:f>IF(B196="","",IF(IF($B196="","",IFERROR(INDEX('계약'!$G$5:$G$204,MATCH($B196,'계약'!$B$5:$B$204,0)),""))&lt;&gt;"","대여중","쉬는차"))</x:f>
      </x:c>
      <x:c r="F196" s="35" t="str">
        <x:f>IF($B196="","",IFERROR(INDEX('계약'!$G$5:$G$204,MATCH($B196,'계약'!$B$5:$B$204,0)),""))</x:f>
      </x:c>
      <x:c r="G196" s="276" t="str">
        <x:f>IF($B196="","",IFERROR(INDEX('계약'!$H$5:$H$204,MATCH($B196,'계약'!$B$5:$B$204,0)),""))</x:f>
      </x:c>
      <x:c r="H196" s="276" t="str">
        <x:f>IF($B196="","",IFERROR(INDEX('계약'!$I$5:$I$204,MATCH($B196,'계약'!$B$5:$B$204,0)),""))</x:f>
      </x:c>
      <x:c r="I196" s="35" t="str">
        <x:f>IF(H196="","",IF(H196&lt;'요약'!$B$2,"만료",(YEAR(H196)-YEAR('요약'!$B$2))*12+MONTH(H196)-MONTH('요약'!$B$2)))</x:f>
      </x:c>
      <x:c r="J196" s="279" t="str">
        <x:f>IF($B196="","",IFERROR(INDEX('계약'!$K$5:$K$204,MATCH($B196,'계약'!$B$5:$B$204,0)),""))</x:f>
      </x:c>
      <x:c r="K196" s="279" t="str">
        <x:f>IF($B196="","",IFERROR(INDEX('계약'!$L$5:$L$204,MATCH($B196,'계약'!$B$5:$B$204,0)),""))</x:f>
      </x:c>
      <x:c r="L196" s="279" t="str">
        <x:f>IF($B196="","",IFERROR(INDEX('수납'!$E$5:$E$204,MATCH($B196,'수납'!$B$5:$B$204,0)),0))</x:f>
      </x:c>
      <x:c r="M196" s="35" t="str">
        <x:f>IF($B196="","",IFERROR(INDEX('수납'!$D$5:$D$204,MATCH($B196,'수납'!$B$5:$B$204,0)),0))</x:f>
      </x:c>
      <x:c r="N196" s="35" t="str">
        <x:f>IF($B196="","",IFERROR(INDEX('계약'!$M$5:$M$204,MATCH($B196,'계약'!$B$5:$B$204,0)),""))</x:f>
      </x:c>
      <x:c r="O196" s="1"/>
      <x:c r="P196" s="1"/>
      <x:c r="Q196" s="1"/>
      <x:c r="R196" s="1"/>
      <x:c r="S196" s="1"/>
      <x:c r="T196" s="1"/>
      <x:c r="U196" s="1"/>
      <x:c r="V196" s="1"/>
      <x:c r="W196" s="1"/>
      <x:c r="X196" s="1"/>
      <x:c r="Y196" s="1"/>
      <x:c r="Z196" s="1"/>
      <x:c r="AA196" s="1"/>
      <x:c r="AB196" s="1"/>
      <x:c r="AC196" s="1"/>
      <x:c r="AD196" s="1"/>
      <x:c r="AE196" s="1"/>
    </x:row>
    <x:row r="197" ht="18" customHeight="1">
      <x:c r="A197" s="273" t="str">
        <x:f>IF(B197="","",193)</x:f>
      </x:c>
      <x:c r="B197" s="35" t="str">
        <x:f>IFERROR(INDEX('자산'!$B$5:$B$204,MATCH(193,'자산'!$Z$5:$Z$204,0)),"")</x:f>
      </x:c>
      <x:c r="C197" s="35" t="str">
        <x:f>IF($B197="","",IFERROR(INDEX('자산'!$C$5:$C$204,MATCH($B197,'자산'!$B$5:$B$204,0)),""))</x:f>
      </x:c>
      <x:c r="D197" s="273" t="str">
        <x:f>IF($B197="","",IFERROR(INDEX('자산'!$D$5:$D$204,MATCH($B197,'자산'!$B$5:$B$204,0)),""))</x:f>
      </x:c>
      <x:c r="E197" s="273" t="str">
        <x:f>IF(B197="","",IF(IF($B197="","",IFERROR(INDEX('계약'!$G$5:$G$204,MATCH($B197,'계약'!$B$5:$B$204,0)),""))&lt;&gt;"","대여중","쉬는차"))</x:f>
      </x:c>
      <x:c r="F197" s="35" t="str">
        <x:f>IF($B197="","",IFERROR(INDEX('계약'!$G$5:$G$204,MATCH($B197,'계약'!$B$5:$B$204,0)),""))</x:f>
      </x:c>
      <x:c r="G197" s="276" t="str">
        <x:f>IF($B197="","",IFERROR(INDEX('계약'!$H$5:$H$204,MATCH($B197,'계약'!$B$5:$B$204,0)),""))</x:f>
      </x:c>
      <x:c r="H197" s="276" t="str">
        <x:f>IF($B197="","",IFERROR(INDEX('계약'!$I$5:$I$204,MATCH($B197,'계약'!$B$5:$B$204,0)),""))</x:f>
      </x:c>
      <x:c r="I197" s="35" t="str">
        <x:f>IF(H197="","",IF(H197&lt;'요약'!$B$2,"만료",(YEAR(H197)-YEAR('요약'!$B$2))*12+MONTH(H197)-MONTH('요약'!$B$2)))</x:f>
      </x:c>
      <x:c r="J197" s="279" t="str">
        <x:f>IF($B197="","",IFERROR(INDEX('계약'!$K$5:$K$204,MATCH($B197,'계약'!$B$5:$B$204,0)),""))</x:f>
      </x:c>
      <x:c r="K197" s="279" t="str">
        <x:f>IF($B197="","",IFERROR(INDEX('계약'!$L$5:$L$204,MATCH($B197,'계약'!$B$5:$B$204,0)),""))</x:f>
      </x:c>
      <x:c r="L197" s="279" t="str">
        <x:f>IF($B197="","",IFERROR(INDEX('수납'!$E$5:$E$204,MATCH($B197,'수납'!$B$5:$B$204,0)),0))</x:f>
      </x:c>
      <x:c r="M197" s="35" t="str">
        <x:f>IF($B197="","",IFERROR(INDEX('수납'!$D$5:$D$204,MATCH($B197,'수납'!$B$5:$B$204,0)),0))</x:f>
      </x:c>
      <x:c r="N197" s="35" t="str">
        <x:f>IF($B197="","",IFERROR(INDEX('계약'!$M$5:$M$204,MATCH($B197,'계약'!$B$5:$B$204,0)),""))</x:f>
      </x:c>
      <x:c r="O197" s="1"/>
      <x:c r="P197" s="1"/>
      <x:c r="Q197" s="1"/>
      <x:c r="R197" s="1"/>
      <x:c r="S197" s="1"/>
      <x:c r="T197" s="1"/>
      <x:c r="U197" s="1"/>
      <x:c r="V197" s="1"/>
      <x:c r="W197" s="1"/>
      <x:c r="X197" s="1"/>
      <x:c r="Y197" s="1"/>
      <x:c r="Z197" s="1"/>
      <x:c r="AA197" s="1"/>
      <x:c r="AB197" s="1"/>
      <x:c r="AC197" s="1"/>
      <x:c r="AD197" s="1"/>
      <x:c r="AE197" s="1"/>
    </x:row>
    <x:row r="198" ht="18" customHeight="1">
      <x:c r="A198" s="273" t="str">
        <x:f>IF(B198="","",194)</x:f>
      </x:c>
      <x:c r="B198" s="35" t="str">
        <x:f>IFERROR(INDEX('자산'!$B$5:$B$204,MATCH(194,'자산'!$Z$5:$Z$204,0)),"")</x:f>
      </x:c>
      <x:c r="C198" s="35" t="str">
        <x:f>IF($B198="","",IFERROR(INDEX('자산'!$C$5:$C$204,MATCH($B198,'자산'!$B$5:$B$204,0)),""))</x:f>
      </x:c>
      <x:c r="D198" s="273" t="str">
        <x:f>IF($B198="","",IFERROR(INDEX('자산'!$D$5:$D$204,MATCH($B198,'자산'!$B$5:$B$204,0)),""))</x:f>
      </x:c>
      <x:c r="E198" s="273" t="str">
        <x:f>IF(B198="","",IF(IF($B198="","",IFERROR(INDEX('계약'!$G$5:$G$204,MATCH($B198,'계약'!$B$5:$B$204,0)),""))&lt;&gt;"","대여중","쉬는차"))</x:f>
      </x:c>
      <x:c r="F198" s="35" t="str">
        <x:f>IF($B198="","",IFERROR(INDEX('계약'!$G$5:$G$204,MATCH($B198,'계약'!$B$5:$B$204,0)),""))</x:f>
      </x:c>
      <x:c r="G198" s="276" t="str">
        <x:f>IF($B198="","",IFERROR(INDEX('계약'!$H$5:$H$204,MATCH($B198,'계약'!$B$5:$B$204,0)),""))</x:f>
      </x:c>
      <x:c r="H198" s="276" t="str">
        <x:f>IF($B198="","",IFERROR(INDEX('계약'!$I$5:$I$204,MATCH($B198,'계약'!$B$5:$B$204,0)),""))</x:f>
      </x:c>
      <x:c r="I198" s="35" t="str">
        <x:f>IF(H198="","",IF(H198&lt;'요약'!$B$2,"만료",(YEAR(H198)-YEAR('요약'!$B$2))*12+MONTH(H198)-MONTH('요약'!$B$2)))</x:f>
      </x:c>
      <x:c r="J198" s="279" t="str">
        <x:f>IF($B198="","",IFERROR(INDEX('계약'!$K$5:$K$204,MATCH($B198,'계약'!$B$5:$B$204,0)),""))</x:f>
      </x:c>
      <x:c r="K198" s="279" t="str">
        <x:f>IF($B198="","",IFERROR(INDEX('계약'!$L$5:$L$204,MATCH($B198,'계약'!$B$5:$B$204,0)),""))</x:f>
      </x:c>
      <x:c r="L198" s="279" t="str">
        <x:f>IF($B198="","",IFERROR(INDEX('수납'!$E$5:$E$204,MATCH($B198,'수납'!$B$5:$B$204,0)),0))</x:f>
      </x:c>
      <x:c r="M198" s="35" t="str">
        <x:f>IF($B198="","",IFERROR(INDEX('수납'!$D$5:$D$204,MATCH($B198,'수납'!$B$5:$B$204,0)),0))</x:f>
      </x:c>
      <x:c r="N198" s="35" t="str">
        <x:f>IF($B198="","",IFERROR(INDEX('계약'!$M$5:$M$204,MATCH($B198,'계약'!$B$5:$B$204,0)),""))</x:f>
      </x:c>
      <x:c r="O198" s="1"/>
      <x:c r="P198" s="1"/>
      <x:c r="Q198" s="1"/>
      <x:c r="R198" s="1"/>
      <x:c r="S198" s="1"/>
      <x:c r="T198" s="1"/>
      <x:c r="U198" s="1"/>
      <x:c r="V198" s="1"/>
      <x:c r="W198" s="1"/>
      <x:c r="X198" s="1"/>
      <x:c r="Y198" s="1"/>
      <x:c r="Z198" s="1"/>
      <x:c r="AA198" s="1"/>
      <x:c r="AB198" s="1"/>
      <x:c r="AC198" s="1"/>
      <x:c r="AD198" s="1"/>
      <x:c r="AE198" s="1"/>
    </x:row>
    <x:row r="199" ht="18" customHeight="1">
      <x:c r="A199" s="273" t="str">
        <x:f>IF(B199="","",195)</x:f>
      </x:c>
      <x:c r="B199" s="35" t="str">
        <x:f>IFERROR(INDEX('자산'!$B$5:$B$204,MATCH(195,'자산'!$Z$5:$Z$204,0)),"")</x:f>
      </x:c>
      <x:c r="C199" s="35" t="str">
        <x:f>IF($B199="","",IFERROR(INDEX('자산'!$C$5:$C$204,MATCH($B199,'자산'!$B$5:$B$204,0)),""))</x:f>
      </x:c>
      <x:c r="D199" s="273" t="str">
        <x:f>IF($B199="","",IFERROR(INDEX('자산'!$D$5:$D$204,MATCH($B199,'자산'!$B$5:$B$204,0)),""))</x:f>
      </x:c>
      <x:c r="E199" s="273" t="str">
        <x:f>IF(B199="","",IF(IF($B199="","",IFERROR(INDEX('계약'!$G$5:$G$204,MATCH($B199,'계약'!$B$5:$B$204,0)),""))&lt;&gt;"","대여중","쉬는차"))</x:f>
      </x:c>
      <x:c r="F199" s="35" t="str">
        <x:f>IF($B199="","",IFERROR(INDEX('계약'!$G$5:$G$204,MATCH($B199,'계약'!$B$5:$B$204,0)),""))</x:f>
      </x:c>
      <x:c r="G199" s="276" t="str">
        <x:f>IF($B199="","",IFERROR(INDEX('계약'!$H$5:$H$204,MATCH($B199,'계약'!$B$5:$B$204,0)),""))</x:f>
      </x:c>
      <x:c r="H199" s="276" t="str">
        <x:f>IF($B199="","",IFERROR(INDEX('계약'!$I$5:$I$204,MATCH($B199,'계약'!$B$5:$B$204,0)),""))</x:f>
      </x:c>
      <x:c r="I199" s="35" t="str">
        <x:f>IF(H199="","",IF(H199&lt;'요약'!$B$2,"만료",(YEAR(H199)-YEAR('요약'!$B$2))*12+MONTH(H199)-MONTH('요약'!$B$2)))</x:f>
      </x:c>
      <x:c r="J199" s="279" t="str">
        <x:f>IF($B199="","",IFERROR(INDEX('계약'!$K$5:$K$204,MATCH($B199,'계약'!$B$5:$B$204,0)),""))</x:f>
      </x:c>
      <x:c r="K199" s="279" t="str">
        <x:f>IF($B199="","",IFERROR(INDEX('계약'!$L$5:$L$204,MATCH($B199,'계약'!$B$5:$B$204,0)),""))</x:f>
      </x:c>
      <x:c r="L199" s="279" t="str">
        <x:f>IF($B199="","",IFERROR(INDEX('수납'!$E$5:$E$204,MATCH($B199,'수납'!$B$5:$B$204,0)),0))</x:f>
      </x:c>
      <x:c r="M199" s="35" t="str">
        <x:f>IF($B199="","",IFERROR(INDEX('수납'!$D$5:$D$204,MATCH($B199,'수납'!$B$5:$B$204,0)),0))</x:f>
      </x:c>
      <x:c r="N199" s="35" t="str">
        <x:f>IF($B199="","",IFERROR(INDEX('계약'!$M$5:$M$204,MATCH($B199,'계약'!$B$5:$B$204,0)),""))</x:f>
      </x:c>
      <x:c r="O199" s="1"/>
      <x:c r="P199" s="1"/>
      <x:c r="Q199" s="1"/>
      <x:c r="R199" s="1"/>
      <x:c r="S199" s="1"/>
      <x:c r="T199" s="1"/>
      <x:c r="U199" s="1"/>
      <x:c r="V199" s="1"/>
      <x:c r="W199" s="1"/>
      <x:c r="X199" s="1"/>
      <x:c r="Y199" s="1"/>
      <x:c r="Z199" s="1"/>
      <x:c r="AA199" s="1"/>
      <x:c r="AB199" s="1"/>
      <x:c r="AC199" s="1"/>
      <x:c r="AD199" s="1"/>
      <x:c r="AE199" s="1"/>
    </x:row>
    <x:row r="200" ht="18" customHeight="1">
      <x:c r="A200" s="273" t="str">
        <x:f>IF(B200="","",196)</x:f>
      </x:c>
      <x:c r="B200" s="35" t="str">
        <x:f>IFERROR(INDEX('자산'!$B$5:$B$204,MATCH(196,'자산'!$Z$5:$Z$204,0)),"")</x:f>
      </x:c>
      <x:c r="C200" s="35" t="str">
        <x:f>IF($B200="","",IFERROR(INDEX('자산'!$C$5:$C$204,MATCH($B200,'자산'!$B$5:$B$204,0)),""))</x:f>
      </x:c>
      <x:c r="D200" s="273" t="str">
        <x:f>IF($B200="","",IFERROR(INDEX('자산'!$D$5:$D$204,MATCH($B200,'자산'!$B$5:$B$204,0)),""))</x:f>
      </x:c>
      <x:c r="E200" s="273" t="str">
        <x:f>IF(B200="","",IF(IF($B200="","",IFERROR(INDEX('계약'!$G$5:$G$204,MATCH($B200,'계약'!$B$5:$B$204,0)),""))&lt;&gt;"","대여중","쉬는차"))</x:f>
      </x:c>
      <x:c r="F200" s="35" t="str">
        <x:f>IF($B200="","",IFERROR(INDEX('계약'!$G$5:$G$204,MATCH($B200,'계약'!$B$5:$B$204,0)),""))</x:f>
      </x:c>
      <x:c r="G200" s="276" t="str">
        <x:f>IF($B200="","",IFERROR(INDEX('계약'!$H$5:$H$204,MATCH($B200,'계약'!$B$5:$B$204,0)),""))</x:f>
      </x:c>
      <x:c r="H200" s="276" t="str">
        <x:f>IF($B200="","",IFERROR(INDEX('계약'!$I$5:$I$204,MATCH($B200,'계약'!$B$5:$B$204,0)),""))</x:f>
      </x:c>
      <x:c r="I200" s="35" t="str">
        <x:f>IF(H200="","",IF(H200&lt;'요약'!$B$2,"만료",(YEAR(H200)-YEAR('요약'!$B$2))*12+MONTH(H200)-MONTH('요약'!$B$2)))</x:f>
      </x:c>
      <x:c r="J200" s="279" t="str">
        <x:f>IF($B200="","",IFERROR(INDEX('계약'!$K$5:$K$204,MATCH($B200,'계약'!$B$5:$B$204,0)),""))</x:f>
      </x:c>
      <x:c r="K200" s="279" t="str">
        <x:f>IF($B200="","",IFERROR(INDEX('계약'!$L$5:$L$204,MATCH($B200,'계약'!$B$5:$B$204,0)),""))</x:f>
      </x:c>
      <x:c r="L200" s="279" t="str">
        <x:f>IF($B200="","",IFERROR(INDEX('수납'!$E$5:$E$204,MATCH($B200,'수납'!$B$5:$B$204,0)),0))</x:f>
      </x:c>
      <x:c r="M200" s="35" t="str">
        <x:f>IF($B200="","",IFERROR(INDEX('수납'!$D$5:$D$204,MATCH($B200,'수납'!$B$5:$B$204,0)),0))</x:f>
      </x:c>
      <x:c r="N200" s="35" t="str">
        <x:f>IF($B200="","",IFERROR(INDEX('계약'!$M$5:$M$204,MATCH($B200,'계약'!$B$5:$B$204,0)),""))</x:f>
      </x:c>
      <x:c r="O200" s="1"/>
      <x:c r="P200" s="1"/>
      <x:c r="Q200" s="1"/>
      <x:c r="R200" s="1"/>
      <x:c r="S200" s="1"/>
      <x:c r="T200" s="1"/>
      <x:c r="U200" s="1"/>
      <x:c r="V200" s="1"/>
      <x:c r="W200" s="1"/>
      <x:c r="X200" s="1"/>
      <x:c r="Y200" s="1"/>
      <x:c r="Z200" s="1"/>
      <x:c r="AA200" s="1"/>
      <x:c r="AB200" s="1"/>
      <x:c r="AC200" s="1"/>
      <x:c r="AD200" s="1"/>
      <x:c r="AE200" s="1"/>
    </x:row>
    <x:row r="201" ht="18" customHeight="1">
      <x:c r="A201" s="273" t="str">
        <x:f>IF(B201="","",197)</x:f>
      </x:c>
      <x:c r="B201" s="35" t="str">
        <x:f>IFERROR(INDEX('자산'!$B$5:$B$204,MATCH(197,'자산'!$Z$5:$Z$204,0)),"")</x:f>
      </x:c>
      <x:c r="C201" s="35" t="str">
        <x:f>IF($B201="","",IFERROR(INDEX('자산'!$C$5:$C$204,MATCH($B201,'자산'!$B$5:$B$204,0)),""))</x:f>
      </x:c>
      <x:c r="D201" s="273" t="str">
        <x:f>IF($B201="","",IFERROR(INDEX('자산'!$D$5:$D$204,MATCH($B201,'자산'!$B$5:$B$204,0)),""))</x:f>
      </x:c>
      <x:c r="E201" s="273" t="str">
        <x:f>IF(B201="","",IF(IF($B201="","",IFERROR(INDEX('계약'!$G$5:$G$204,MATCH($B201,'계약'!$B$5:$B$204,0)),""))&lt;&gt;"","대여중","쉬는차"))</x:f>
      </x:c>
      <x:c r="F201" s="35" t="str">
        <x:f>IF($B201="","",IFERROR(INDEX('계약'!$G$5:$G$204,MATCH($B201,'계약'!$B$5:$B$204,0)),""))</x:f>
      </x:c>
      <x:c r="G201" s="276" t="str">
        <x:f>IF($B201="","",IFERROR(INDEX('계약'!$H$5:$H$204,MATCH($B201,'계약'!$B$5:$B$204,0)),""))</x:f>
      </x:c>
      <x:c r="H201" s="276" t="str">
        <x:f>IF($B201="","",IFERROR(INDEX('계약'!$I$5:$I$204,MATCH($B201,'계약'!$B$5:$B$204,0)),""))</x:f>
      </x:c>
      <x:c r="I201" s="35" t="str">
        <x:f>IF(H201="","",IF(H201&lt;'요약'!$B$2,"만료",(YEAR(H201)-YEAR('요약'!$B$2))*12+MONTH(H201)-MONTH('요약'!$B$2)))</x:f>
      </x:c>
      <x:c r="J201" s="279" t="str">
        <x:f>IF($B201="","",IFERROR(INDEX('계약'!$K$5:$K$204,MATCH($B201,'계약'!$B$5:$B$204,0)),""))</x:f>
      </x:c>
      <x:c r="K201" s="279" t="str">
        <x:f>IF($B201="","",IFERROR(INDEX('계약'!$L$5:$L$204,MATCH($B201,'계약'!$B$5:$B$204,0)),""))</x:f>
      </x:c>
      <x:c r="L201" s="279" t="str">
        <x:f>IF($B201="","",IFERROR(INDEX('수납'!$E$5:$E$204,MATCH($B201,'수납'!$B$5:$B$204,0)),0))</x:f>
      </x:c>
      <x:c r="M201" s="35" t="str">
        <x:f>IF($B201="","",IFERROR(INDEX('수납'!$D$5:$D$204,MATCH($B201,'수납'!$B$5:$B$204,0)),0))</x:f>
      </x:c>
      <x:c r="N201" s="35" t="str">
        <x:f>IF($B201="","",IFERROR(INDEX('계약'!$M$5:$M$204,MATCH($B201,'계약'!$B$5:$B$204,0)),""))</x:f>
      </x:c>
      <x:c r="O201" s="1"/>
      <x:c r="P201" s="1"/>
      <x:c r="Q201" s="1"/>
      <x:c r="R201" s="1"/>
      <x:c r="S201" s="1"/>
      <x:c r="T201" s="1"/>
      <x:c r="U201" s="1"/>
      <x:c r="V201" s="1"/>
      <x:c r="W201" s="1"/>
      <x:c r="X201" s="1"/>
      <x:c r="Y201" s="1"/>
      <x:c r="Z201" s="1"/>
      <x:c r="AA201" s="1"/>
      <x:c r="AB201" s="1"/>
      <x:c r="AC201" s="1"/>
      <x:c r="AD201" s="1"/>
      <x:c r="AE201" s="1"/>
    </x:row>
    <x:row r="202" ht="18" customHeight="1">
      <x:c r="A202" s="273" t="str">
        <x:f>IF(B202="","",198)</x:f>
      </x:c>
      <x:c r="B202" s="35" t="str">
        <x:f>IFERROR(INDEX('자산'!$B$5:$B$204,MATCH(198,'자산'!$Z$5:$Z$204,0)),"")</x:f>
      </x:c>
      <x:c r="C202" s="35" t="str">
        <x:f>IF($B202="","",IFERROR(INDEX('자산'!$C$5:$C$204,MATCH($B202,'자산'!$B$5:$B$204,0)),""))</x:f>
      </x:c>
      <x:c r="D202" s="273" t="str">
        <x:f>IF($B202="","",IFERROR(INDEX('자산'!$D$5:$D$204,MATCH($B202,'자산'!$B$5:$B$204,0)),""))</x:f>
      </x:c>
      <x:c r="E202" s="273" t="str">
        <x:f>IF(B202="","",IF(IF($B202="","",IFERROR(INDEX('계약'!$G$5:$G$204,MATCH($B202,'계약'!$B$5:$B$204,0)),""))&lt;&gt;"","대여중","쉬는차"))</x:f>
      </x:c>
      <x:c r="F202" s="35" t="str">
        <x:f>IF($B202="","",IFERROR(INDEX('계약'!$G$5:$G$204,MATCH($B202,'계약'!$B$5:$B$204,0)),""))</x:f>
      </x:c>
      <x:c r="G202" s="276" t="str">
        <x:f>IF($B202="","",IFERROR(INDEX('계약'!$H$5:$H$204,MATCH($B202,'계약'!$B$5:$B$204,0)),""))</x:f>
      </x:c>
      <x:c r="H202" s="276" t="str">
        <x:f>IF($B202="","",IFERROR(INDEX('계약'!$I$5:$I$204,MATCH($B202,'계약'!$B$5:$B$204,0)),""))</x:f>
      </x:c>
      <x:c r="I202" s="35" t="str">
        <x:f>IF(H202="","",IF(H202&lt;'요약'!$B$2,"만료",(YEAR(H202)-YEAR('요약'!$B$2))*12+MONTH(H202)-MONTH('요약'!$B$2)))</x:f>
      </x:c>
      <x:c r="J202" s="279" t="str">
        <x:f>IF($B202="","",IFERROR(INDEX('계약'!$K$5:$K$204,MATCH($B202,'계약'!$B$5:$B$204,0)),""))</x:f>
      </x:c>
      <x:c r="K202" s="279" t="str">
        <x:f>IF($B202="","",IFERROR(INDEX('계약'!$L$5:$L$204,MATCH($B202,'계약'!$B$5:$B$204,0)),""))</x:f>
      </x:c>
      <x:c r="L202" s="279" t="str">
        <x:f>IF($B202="","",IFERROR(INDEX('수납'!$E$5:$E$204,MATCH($B202,'수납'!$B$5:$B$204,0)),0))</x:f>
      </x:c>
      <x:c r="M202" s="35" t="str">
        <x:f>IF($B202="","",IFERROR(INDEX('수납'!$D$5:$D$204,MATCH($B202,'수납'!$B$5:$B$204,0)),0))</x:f>
      </x:c>
      <x:c r="N202" s="35" t="str">
        <x:f>IF($B202="","",IFERROR(INDEX('계약'!$M$5:$M$204,MATCH($B202,'계약'!$B$5:$B$204,0)),""))</x:f>
      </x:c>
      <x:c r="O202" s="1"/>
      <x:c r="P202" s="1"/>
      <x:c r="Q202" s="1"/>
      <x:c r="R202" s="1"/>
      <x:c r="S202" s="1"/>
      <x:c r="T202" s="1"/>
      <x:c r="U202" s="1"/>
      <x:c r="V202" s="1"/>
      <x:c r="W202" s="1"/>
      <x:c r="X202" s="1"/>
      <x:c r="Y202" s="1"/>
      <x:c r="Z202" s="1"/>
      <x:c r="AA202" s="1"/>
      <x:c r="AB202" s="1"/>
      <x:c r="AC202" s="1"/>
      <x:c r="AD202" s="1"/>
      <x:c r="AE202" s="1"/>
    </x:row>
    <x:row r="203" ht="18" customHeight="1">
      <x:c r="A203" s="273" t="str">
        <x:f>IF(B203="","",199)</x:f>
      </x:c>
      <x:c r="B203" s="35" t="str">
        <x:f>IFERROR(INDEX('자산'!$B$5:$B$204,MATCH(199,'자산'!$Z$5:$Z$204,0)),"")</x:f>
      </x:c>
      <x:c r="C203" s="35" t="str">
        <x:f>IF($B203="","",IFERROR(INDEX('자산'!$C$5:$C$204,MATCH($B203,'자산'!$B$5:$B$204,0)),""))</x:f>
      </x:c>
      <x:c r="D203" s="273" t="str">
        <x:f>IF($B203="","",IFERROR(INDEX('자산'!$D$5:$D$204,MATCH($B203,'자산'!$B$5:$B$204,0)),""))</x:f>
      </x:c>
      <x:c r="E203" s="273" t="str">
        <x:f>IF(B203="","",IF(IF($B203="","",IFERROR(INDEX('계약'!$G$5:$G$204,MATCH($B203,'계약'!$B$5:$B$204,0)),""))&lt;&gt;"","대여중","쉬는차"))</x:f>
      </x:c>
      <x:c r="F203" s="35" t="str">
        <x:f>IF($B203="","",IFERROR(INDEX('계약'!$G$5:$G$204,MATCH($B203,'계약'!$B$5:$B$204,0)),""))</x:f>
      </x:c>
      <x:c r="G203" s="276" t="str">
        <x:f>IF($B203="","",IFERROR(INDEX('계약'!$H$5:$H$204,MATCH($B203,'계약'!$B$5:$B$204,0)),""))</x:f>
      </x:c>
      <x:c r="H203" s="276" t="str">
        <x:f>IF($B203="","",IFERROR(INDEX('계약'!$I$5:$I$204,MATCH($B203,'계약'!$B$5:$B$204,0)),""))</x:f>
      </x:c>
      <x:c r="I203" s="35" t="str">
        <x:f>IF(H203="","",IF(H203&lt;'요약'!$B$2,"만료",(YEAR(H203)-YEAR('요약'!$B$2))*12+MONTH(H203)-MONTH('요약'!$B$2)))</x:f>
      </x:c>
      <x:c r="J203" s="279" t="str">
        <x:f>IF($B203="","",IFERROR(INDEX('계약'!$K$5:$K$204,MATCH($B203,'계약'!$B$5:$B$204,0)),""))</x:f>
      </x:c>
      <x:c r="K203" s="279" t="str">
        <x:f>IF($B203="","",IFERROR(INDEX('계약'!$L$5:$L$204,MATCH($B203,'계약'!$B$5:$B$204,0)),""))</x:f>
      </x:c>
      <x:c r="L203" s="279" t="str">
        <x:f>IF($B203="","",IFERROR(INDEX('수납'!$E$5:$E$204,MATCH($B203,'수납'!$B$5:$B$204,0)),0))</x:f>
      </x:c>
      <x:c r="M203" s="35" t="str">
        <x:f>IF($B203="","",IFERROR(INDEX('수납'!$D$5:$D$204,MATCH($B203,'수납'!$B$5:$B$204,0)),0))</x:f>
      </x:c>
      <x:c r="N203" s="35" t="str">
        <x:f>IF($B203="","",IFERROR(INDEX('계약'!$M$5:$M$204,MATCH($B203,'계약'!$B$5:$B$204,0)),""))</x:f>
      </x:c>
      <x:c r="O203" s="1"/>
      <x:c r="P203" s="1"/>
      <x:c r="Q203" s="1"/>
      <x:c r="R203" s="1"/>
      <x:c r="S203" s="1"/>
      <x:c r="T203" s="1"/>
      <x:c r="U203" s="1"/>
      <x:c r="V203" s="1"/>
      <x:c r="W203" s="1"/>
      <x:c r="X203" s="1"/>
      <x:c r="Y203" s="1"/>
      <x:c r="Z203" s="1"/>
      <x:c r="AA203" s="1"/>
      <x:c r="AB203" s="1"/>
      <x:c r="AC203" s="1"/>
      <x:c r="AD203" s="1"/>
      <x:c r="AE203" s="1"/>
    </x:row>
    <x:row r="204" ht="18" customHeight="1">
      <x:c r="A204" s="274" t="str">
        <x:f>IF(B204="","",200)</x:f>
      </x:c>
      <x:c r="B204" s="36" t="str">
        <x:f>IFERROR(INDEX('자산'!$B$5:$B$204,MATCH(200,'자산'!$Z$5:$Z$204,0)),"")</x:f>
      </x:c>
      <x:c r="C204" s="36" t="str">
        <x:f>IF($B204="","",IFERROR(INDEX('자산'!$C$5:$C$204,MATCH($B204,'자산'!$B$5:$B$204,0)),""))</x:f>
      </x:c>
      <x:c r="D204" s="274" t="str">
        <x:f>IF($B204="","",IFERROR(INDEX('자산'!$D$5:$D$204,MATCH($B204,'자산'!$B$5:$B$204,0)),""))</x:f>
      </x:c>
      <x:c r="E204" s="274" t="str">
        <x:f>IF(B204="","",IF(IF($B204="","",IFERROR(INDEX('계약'!$G$5:$G$204,MATCH($B204,'계약'!$B$5:$B$204,0)),""))&lt;&gt;"","대여중","쉬는차"))</x:f>
      </x:c>
      <x:c r="F204" s="36" t="str">
        <x:f>IF($B204="","",IFERROR(INDEX('계약'!$G$5:$G$204,MATCH($B204,'계약'!$B$5:$B$204,0)),""))</x:f>
      </x:c>
      <x:c r="G204" s="277" t="str">
        <x:f>IF($B204="","",IFERROR(INDEX('계약'!$H$5:$H$204,MATCH($B204,'계약'!$B$5:$B$204,0)),""))</x:f>
      </x:c>
      <x:c r="H204" s="277" t="str">
        <x:f>IF($B204="","",IFERROR(INDEX('계약'!$I$5:$I$204,MATCH($B204,'계약'!$B$5:$B$204,0)),""))</x:f>
      </x:c>
      <x:c r="I204" s="36" t="str">
        <x:f>IF(H204="","",IF(H204&lt;'요약'!$B$2,"만료",(YEAR(H204)-YEAR('요약'!$B$2))*12+MONTH(H204)-MONTH('요약'!$B$2)))</x:f>
      </x:c>
      <x:c r="J204" s="280" t="str">
        <x:f>IF($B204="","",IFERROR(INDEX('계약'!$K$5:$K$204,MATCH($B204,'계약'!$B$5:$B$204,0)),""))</x:f>
      </x:c>
      <x:c r="K204" s="280" t="str">
        <x:f>IF($B204="","",IFERROR(INDEX('계약'!$L$5:$L$204,MATCH($B204,'계약'!$B$5:$B$204,0)),""))</x:f>
      </x:c>
      <x:c r="L204" s="280" t="str">
        <x:f>IF($B204="","",IFERROR(INDEX('수납'!$E$5:$E$204,MATCH($B204,'수납'!$B$5:$B$204,0)),0))</x:f>
      </x:c>
      <x:c r="M204" s="36" t="str">
        <x:f>IF($B204="","",IFERROR(INDEX('수납'!$D$5:$D$204,MATCH($B204,'수납'!$B$5:$B$204,0)),0))</x:f>
      </x:c>
      <x:c r="N204" s="36" t="str">
        <x:f>IF($B204="","",IFERROR(INDEX('계약'!$M$5:$M$204,MATCH($B204,'계약'!$B$5:$B$204,0)),""))</x:f>
      </x:c>
      <x:c r="O204" s="1"/>
      <x:c r="P204" s="1"/>
      <x:c r="Q204" s="1"/>
      <x:c r="R204" s="1"/>
      <x:c r="S204" s="1"/>
      <x:c r="T204" s="1"/>
      <x:c r="U204" s="1"/>
      <x:c r="V204" s="1"/>
      <x:c r="W204" s="1"/>
      <x:c r="X204" s="1"/>
      <x:c r="Y204" s="1"/>
      <x:c r="Z204" s="1"/>
      <x:c r="AA204" s="1"/>
      <x:c r="AB204" s="1"/>
      <x:c r="AC204" s="1"/>
      <x:c r="AD204" s="1"/>
      <x:c r="AE204" s="1"/>
    </x:row>
  </x:sheetData>
  <x:mergeCells>
    <x:mergeCell ref="A1:N1"/>
    <x:mergeCell ref="A2:N2"/>
    <x:mergeCell ref="A3:N3"/>
  </x:mergeCells>
  <x:conditionalFormatting sqref="E5:E204">
    <x:cfRule type="containsText" dxfId="9" priority="1" operator="containsText" text="쉬는차"/>
  </x:conditionalFormatting>
  <x:conditionalFormatting sqref="I5:I204">
    <x:cfRule type="containsText" dxfId="10" priority="2" operator="containsText" text="만료"/>
    <x:cfRule type="cellIs" dxfId="11" priority="3" operator="lessThanOrEqual">
      <x:formula>3</x:formula>
    </x:cfRule>
  </x:conditionalFormatting>
  <x:conditionalFormatting sqref="L5:L204">
    <x:cfRule type="cellIs" dxfId="12" priority="4" operator="greaterThan">
      <x:formula>0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" hidden="0" customWidth="1"/>
    <x:col min="2" max="2" width="12.5" hidden="0" customWidth="1"/>
    <x:col min="3" max="3" width="18.75" hidden="0" customWidth="1"/>
    <x:col min="4" max="4" width="8" hidden="0" customWidth="1"/>
    <x:col min="5" max="5" width="8" hidden="0" customWidth="1"/>
    <x:col min="6" max="6" width="11.5" hidden="0" customWidth="1"/>
    <x:col min="7" max="7" width="9" hidden="0" customWidth="1"/>
    <x:col min="8" max="8" width="11.25" hidden="0" customWidth="1"/>
    <x:col min="9" max="9" width="10.5" hidden="0" customWidth="1"/>
    <x:col min="10" max="10" width="18.75" hidden="0" customWidth="1"/>
    <x:col min="26" max="26" width="9.25" hidden="0" customWidth="1"/>
  </x:cols>
  <x:sheetData>
    <x:row r="1" ht="34.5" customHeight="1">
      <x:c r="A1" s="4" t="str">
        <x:v>자산</x:v>
      </x:c>
      <x:c r="B1" s="4"/>
      <x:c r="C1" s="4"/>
      <x:c r="D1" s="4"/>
      <x:c r="E1" s="4"/>
      <x:c r="F1" s="4"/>
      <x:c r="G1" s="4"/>
      <x:c r="H1" s="4"/>
      <x:c r="I1" s="4"/>
      <x:c r="J1" s="4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  <x:c r="AA1" s="1"/>
      <x:c r="AB1" s="1"/>
      <x:c r="AC1" s="1"/>
      <x:c r="AD1" s="1"/>
      <x:c r="AE1" s="1"/>
    </x:row>
    <x:row r="2" ht="22.5" customHeight="1">
      <x:c r="A2" s="8" t="str">
        <x:v>차량 한 대당 한 줄로 입력합니다. 매각·폐차 차량도 삭제하지 않고 상태만 변경합니다.</x:v>
      </x:c>
      <x:c r="B2" s="8"/>
      <x:c r="C2" s="8"/>
      <x:c r="D2" s="8"/>
      <x:c r="E2" s="8"/>
      <x:c r="F2" s="8"/>
      <x:c r="G2" s="8"/>
      <x:c r="H2" s="8"/>
      <x:c r="I2" s="8"/>
      <x:c r="J2" s="8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  <x:c r="AA2" s="1"/>
      <x:c r="AB2" s="1"/>
      <x:c r="AC2" s="1"/>
      <x:c r="AD2" s="1"/>
      <x:c r="AE2" s="1"/>
    </x:row>
    <x:row r="3">
      <x:c r="A3" s="11" t="str">
        <x:v>자산 원장 · 입력</x:v>
      </x:c>
      <x:c r="B3" s="11"/>
      <x:c r="C3" s="11"/>
      <x:c r="D3" s="11"/>
      <x:c r="E3" s="11"/>
      <x:c r="F3" s="11"/>
      <x:c r="G3" s="11"/>
      <x:c r="H3" s="11"/>
      <x:c r="I3" s="11"/>
      <x:c r="J3" s="1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  <x:c r="AA3" s="1"/>
      <x:c r="AB3" s="1"/>
      <x:c r="AC3" s="1"/>
      <x:c r="AD3" s="1"/>
      <x:c r="AE3" s="1"/>
    </x:row>
    <x:row r="4">
      <x:c r="A4" s="22" t="str">
        <x:v>번호</x:v>
      </x:c>
      <x:c r="B4" s="23" t="str">
        <x:v>차번</x:v>
      </x:c>
      <x:c r="C4" s="23" t="str">
        <x:v>차종</x:v>
      </x:c>
      <x:c r="D4" s="23" t="str">
        <x:v>소속</x:v>
      </x:c>
      <x:c r="E4" s="23" t="str">
        <x:v>연식</x:v>
      </x:c>
      <x:c r="F4" s="23" t="str">
        <x:v>등록일</x:v>
      </x:c>
      <x:c r="G4" s="23" t="str">
        <x:v>취득</x:v>
      </x:c>
      <x:c r="H4" s="23" t="str">
        <x:v>보험</x:v>
      </x:c>
      <x:c r="I4" s="23" t="str">
        <x:v>상태</x:v>
      </x:c>
      <x:c r="J4" s="24" t="str">
        <x:v>비고</x:v>
      </x:c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30" t="str">
        <x:v>보유순번
(자동)</x:v>
      </x:c>
      <x:c r="AA4" s="1"/>
      <x:c r="AB4" s="1"/>
      <x:c r="AC4" s="1"/>
      <x:c r="AD4" s="1"/>
      <x:c r="AE4" s="1"/>
    </x:row>
    <x:row r="5" ht="18" customHeight="1">
      <x:c r="A5" s="40" t="n">
        <x:v>1</x:v>
      </x:c>
      <x:c r="B5" s="37" t="str">
        <x:v>231가4820</x:v>
      </x:c>
      <x:c r="C5" s="37" t="str">
        <x:v>그랜저 IG</x:v>
      </x:c>
      <x:c r="D5" s="40" t="str">
        <x:v>본사</x:v>
      </x:c>
      <x:c r="E5" s="40" t="n">
        <x:v>2021</x:v>
      </x:c>
      <x:c r="F5" s="43" t="n">
        <x:v>44422</x:v>
      </x:c>
      <x:c r="G5" s="40" t="str">
        <x:v>할부</x:v>
      </x:c>
      <x:c r="H5" s="40" t="str">
        <x:v>DB손보</x:v>
      </x:c>
      <x:c r="I5" s="40" t="str">
        <x:v>보유</x:v>
      </x:c>
      <x:c r="J5" s="37" t="str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48" t="n">
        <x:f>IF(I5="보유",COUNTIF($I$5:I5,"보유"),"")</x:f>
        <x:v>1</x:v>
      </x:c>
      <x:c r="AA5" s="1"/>
      <x:c r="AB5" s="1"/>
      <x:c r="AC5" s="1"/>
      <x:c r="AD5" s="1"/>
      <x:c r="AE5" s="1"/>
    </x:row>
    <x:row r="6" ht="18" customHeight="1">
      <x:c r="A6" s="41" t="n">
        <x:v>2</x:v>
      </x:c>
      <x:c r="B6" s="38" t="str">
        <x:v>45나7719</x:v>
      </x:c>
      <x:c r="C6" s="38" t="str">
        <x:v>카니발 하이리무진</x:v>
      </x:c>
      <x:c r="D6" s="41" t="str">
        <x:v>본사</x:v>
      </x:c>
      <x:c r="E6" s="41" t="n">
        <x:v>2022</x:v>
      </x:c>
      <x:c r="F6" s="44" t="n">
        <x:v>44653</x:v>
      </x:c>
      <x:c r="G6" s="41" t="str">
        <x:v>할부</x:v>
      </x:c>
      <x:c r="H6" s="41" t="str">
        <x:v>KB손보</x:v>
      </x:c>
      <x:c r="I6" s="41" t="str">
        <x:v>보유</x:v>
      </x:c>
      <x:c r="J6" s="38" t="str"/>
      <x:c r="K6" s="1"/>
      <x:c r="L6" s="1"/>
      <x:c r="M6" s="1"/>
      <x:c r="N6" s="1"/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48" t="n">
        <x:f>IF(I6="보유",COUNTIF($I$5:I6,"보유"),"")</x:f>
        <x:v>2</x:v>
      </x:c>
      <x:c r="AA6" s="1"/>
      <x:c r="AB6" s="1"/>
      <x:c r="AC6" s="1"/>
      <x:c r="AD6" s="1"/>
      <x:c r="AE6" s="1"/>
    </x:row>
    <x:row r="7" ht="18" customHeight="1">
      <x:c r="A7" s="41" t="n">
        <x:v>3</x:v>
      </x:c>
      <x:c r="B7" s="38" t="str">
        <x:v>03머0389</x:v>
      </x:c>
      <x:c r="C7" s="38" t="str">
        <x:v>K5 DL3</x:v>
      </x:c>
      <x:c r="D7" s="41" t="str">
        <x:v>본사</x:v>
      </x:c>
      <x:c r="E7" s="41" t="n">
        <x:v>2023</x:v>
      </x:c>
      <x:c r="F7" s="44" t="n">
        <x:v>45054</x:v>
      </x:c>
      <x:c r="G7" s="41" t="str">
        <x:v>리스</x:v>
      </x:c>
      <x:c r="H7" s="41" t="str">
        <x:v>DB손보</x:v>
      </x:c>
      <x:c r="I7" s="41" t="str">
        <x:v>보유</x:v>
      </x:c>
      <x:c r="J7" s="38" t="str"/>
      <x:c r="K7" s="1"/>
      <x:c r="L7" s="1"/>
      <x:c r="M7" s="1"/>
      <x:c r="N7" s="1"/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48" t="n">
        <x:f>IF(I7="보유",COUNTIF($I$5:I7,"보유"),"")</x:f>
        <x:v>3</x:v>
      </x:c>
      <x:c r="AA7" s="1"/>
      <x:c r="AB7" s="1"/>
      <x:c r="AC7" s="1"/>
      <x:c r="AD7" s="1"/>
      <x:c r="AE7" s="1"/>
    </x:row>
    <x:row r="8" ht="18" customHeight="1">
      <x:c r="A8" s="41" t="n">
        <x:v>4</x:v>
      </x:c>
      <x:c r="B8" s="38" t="str">
        <x:v>187허2264</x:v>
      </x:c>
      <x:c r="C8" s="38" t="str">
        <x:v>셀토스</x:v>
      </x:c>
      <x:c r="D8" s="41" t="str">
        <x:v>본사</x:v>
      </x:c>
      <x:c r="E8" s="41" t="n">
        <x:v>2020</x:v>
      </x:c>
      <x:c r="F8" s="44" t="n">
        <x:v>44162</x:v>
      </x:c>
      <x:c r="G8" s="41" t="str">
        <x:v>현금</x:v>
      </x:c>
      <x:c r="H8" s="41" t="str">
        <x:v>DB손보</x:v>
      </x:c>
      <x:c r="I8" s="41" t="str">
        <x:v>보유</x:v>
      </x:c>
      <x:c r="J8" s="38" t="str">
        <x:v>상품화 예정</x:v>
      </x:c>
      <x:c r="K8" s="1"/>
      <x:c r="L8" s="1"/>
      <x:c r="M8" s="1"/>
      <x:c r="N8" s="1"/>
      <x:c r="O8" s="1"/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48" t="n">
        <x:f>IF(I8="보유",COUNTIF($I$5:I8,"보유"),"")</x:f>
        <x:v>4</x:v>
      </x:c>
      <x:c r="AA8" s="1"/>
      <x:c r="AB8" s="1"/>
      <x:c r="AC8" s="1"/>
      <x:c r="AD8" s="1"/>
      <x:c r="AE8" s="1"/>
    </x:row>
    <x:row r="9" ht="18" customHeight="1">
      <x:c r="A9" s="41" t="n">
        <x:v>5</x:v>
      </x:c>
      <x:c r="B9" s="38" t="str">
        <x:v>92소5513</x:v>
      </x:c>
      <x:c r="C9" s="38" t="str">
        <x:v>스타리아 라운지</x:v>
      </x:c>
      <x:c r="D9" s="41" t="str">
        <x:v>본사</x:v>
      </x:c>
      <x:c r="E9" s="41" t="n">
        <x:v>2024</x:v>
      </x:c>
      <x:c r="F9" s="44" t="n">
        <x:v>45557</x:v>
      </x:c>
      <x:c r="G9" s="41" t="str">
        <x:v>할부</x:v>
      </x:c>
      <x:c r="H9" s="41" t="str">
        <x:v>KB손보</x:v>
      </x:c>
      <x:c r="I9" s="41" t="str">
        <x:v>보유</x:v>
      </x:c>
      <x:c r="J9" s="38" t="str"/>
      <x:c r="K9" s="1"/>
      <x:c r="L9" s="1"/>
      <x:c r="M9" s="1"/>
      <x:c r="N9" s="1"/>
      <x:c r="O9" s="1"/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48" t="n">
        <x:f>IF(I9="보유",COUNTIF($I$5:I9,"보유"),"")</x:f>
        <x:v>5</x:v>
      </x:c>
      <x:c r="AA9" s="1"/>
      <x:c r="AB9" s="1"/>
      <x:c r="AC9" s="1"/>
      <x:c r="AD9" s="1"/>
      <x:c r="AE9" s="1"/>
    </x:row>
    <x:row r="10" ht="18" customHeight="1">
      <x:c r="A10" s="41" t="n">
        <x:v>6</x:v>
      </x:c>
      <x:c r="B10" s="38" t="str">
        <x:v>318수9047</x:v>
      </x:c>
      <x:c r="C10" s="38" t="str">
        <x:v>아반떼 CN7</x:v>
      </x:c>
      <x:c r="D10" s="41" t="str">
        <x:v>본사</x:v>
      </x:c>
      <x:c r="E10" s="41" t="n">
        <x:v>2022</x:v>
      </x:c>
      <x:c r="F10" s="44" t="n">
        <x:v>44757</x:v>
      </x:c>
      <x:c r="G10" s="41" t="str">
        <x:v>할부</x:v>
      </x:c>
      <x:c r="H10" s="41" t="str">
        <x:v>KB손보</x:v>
      </x:c>
      <x:c r="I10" s="41" t="str">
        <x:v>보유</x:v>
      </x:c>
      <x:c r="J10" s="38" t="str">
        <x:v>계약 만료 확인</x:v>
      </x:c>
      <x:c r="K10" s="1"/>
      <x:c r="L10" s="1"/>
      <x:c r="M10" s="1"/>
      <x:c r="N10" s="1"/>
      <x:c r="O10" s="1"/>
      <x:c r="P10" s="1"/>
      <x:c r="Q10" s="1"/>
      <x:c r="R10" s="1"/>
      <x:c r="S10" s="1"/>
      <x:c r="T10" s="1"/>
      <x:c r="U10" s="1"/>
      <x:c r="V10" s="1"/>
      <x:c r="W10" s="1"/>
      <x:c r="X10" s="1"/>
      <x:c r="Y10" s="1"/>
      <x:c r="Z10" s="48" t="n">
        <x:f>IF(I10="보유",COUNTIF($I$5:I10,"보유"),"")</x:f>
        <x:v>6</x:v>
      </x:c>
      <x:c r="AA10" s="1"/>
      <x:c r="AB10" s="1"/>
      <x:c r="AC10" s="1"/>
      <x:c r="AD10" s="1"/>
      <x:c r="AE10" s="1"/>
    </x:row>
    <x:row r="11" ht="18" customHeight="1">
      <x:c r="A11" s="41" t="n">
        <x:v>7</x:v>
      </x:c>
      <x:c r="B11" s="38" t="str">
        <x:v>76조1188</x:v>
      </x:c>
      <x:c r="C11" s="38" t="str">
        <x:v>쏘렌토 MQ4</x:v>
      </x:c>
      <x:c r="D11" s="41" t="str">
        <x:v>본사</x:v>
      </x:c>
      <x:c r="E11" s="41" t="n">
        <x:v>2021</x:v>
      </x:c>
      <x:c r="F11" s="44" t="n">
        <x:v>44245</x:v>
      </x:c>
      <x:c r="G11" s="41" t="str">
        <x:v>현금</x:v>
      </x:c>
      <x:c r="H11" s="41" t="str">
        <x:v>DB손보</x:v>
      </x:c>
      <x:c r="I11" s="41" t="str">
        <x:v>보유</x:v>
      </x:c>
      <x:c r="J11" s="38" t="str">
        <x:v>쉬는차</x:v>
      </x:c>
      <x:c r="K11" s="1"/>
      <x:c r="L11" s="1"/>
      <x:c r="M11" s="1"/>
      <x:c r="N11" s="1"/>
      <x:c r="O11" s="1"/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48" t="n">
        <x:f>IF(I11="보유",COUNTIF($I$5:I11,"보유"),"")</x:f>
        <x:v>7</x:v>
      </x:c>
      <x:c r="AA11" s="1"/>
      <x:c r="AB11" s="1"/>
      <x:c r="AC11" s="1"/>
      <x:c r="AD11" s="1"/>
      <x:c r="AE11" s="1"/>
    </x:row>
    <x:row r="12" ht="18" customHeight="1">
      <x:c r="A12" s="41" t="n">
        <x:v>8</x:v>
      </x:c>
      <x:c r="B12" s="38" t="str">
        <x:v>264라3396</x:v>
      </x:c>
      <x:c r="C12" s="38" t="str">
        <x:v>팰리세이드</x:v>
      </x:c>
      <x:c r="D12" s="41" t="str">
        <x:v>본사</x:v>
      </x:c>
      <x:c r="E12" s="41" t="n">
        <x:v>2024</x:v>
      </x:c>
      <x:c r="F12" s="44" t="n">
        <x:v>45637</x:v>
      </x:c>
      <x:c r="G12" s="41" t="str">
        <x:v>할부</x:v>
      </x:c>
      <x:c r="H12" s="41" t="str">
        <x:v>현대해상</x:v>
      </x:c>
      <x:c r="I12" s="41" t="str">
        <x:v>보유</x:v>
      </x:c>
      <x:c r="J12" s="38" t="str"/>
      <x:c r="K12" s="1"/>
      <x:c r="L12" s="1"/>
      <x:c r="M12" s="1"/>
      <x:c r="N12" s="1"/>
      <x:c r="O12" s="1"/>
      <x:c r="P12" s="1"/>
      <x:c r="Q12" s="1"/>
      <x:c r="R12" s="1"/>
      <x:c r="S12" s="1"/>
      <x:c r="T12" s="1"/>
      <x:c r="U12" s="1"/>
      <x:c r="V12" s="1"/>
      <x:c r="W12" s="1"/>
      <x:c r="X12" s="1"/>
      <x:c r="Y12" s="1"/>
      <x:c r="Z12" s="48" t="n">
        <x:f>IF(I12="보유",COUNTIF($I$5:I12,"보유"),"")</x:f>
        <x:v>8</x:v>
      </x:c>
      <x:c r="AA12" s="1"/>
      <x:c r="AB12" s="1"/>
      <x:c r="AC12" s="1"/>
      <x:c r="AD12" s="1"/>
      <x:c r="AE12" s="1"/>
    </x:row>
    <x:row r="13" ht="18" customHeight="1">
      <x:c r="A13" s="41" t="n">
        <x:v>9</x:v>
      </x:c>
      <x:c r="B13" s="38" t="str">
        <x:v>509부7731</x:v>
      </x:c>
      <x:c r="C13" s="38" t="str">
        <x:v>모닝 JA</x:v>
      </x:c>
      <x:c r="D13" s="41" t="str">
        <x:v>본사</x:v>
      </x:c>
      <x:c r="E13" s="41" t="n">
        <x:v>2018</x:v>
      </x:c>
      <x:c r="F13" s="44" t="n">
        <x:v>43168</x:v>
      </x:c>
      <x:c r="G13" s="41" t="str">
        <x:v>현금</x:v>
      </x:c>
      <x:c r="H13" s="41" t="str"/>
      <x:c r="I13" s="41" t="str">
        <x:v>매각</x:v>
      </x:c>
      <x:c r="J13" s="38" t="str">
        <x:v>2026-02-11 매각</x:v>
      </x:c>
      <x:c r="K13" s="1"/>
      <x:c r="L13" s="1"/>
      <x:c r="M13" s="1"/>
      <x:c r="N13" s="1"/>
      <x:c r="O13" s="1"/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48" t="str">
        <x:f>IF(I13="보유",COUNTIF($I$5:I13,"보유"),"")</x:f>
      </x:c>
      <x:c r="AA13" s="1"/>
      <x:c r="AB13" s="1"/>
      <x:c r="AC13" s="1"/>
      <x:c r="AD13" s="1"/>
      <x:c r="AE13" s="1"/>
    </x:row>
    <x:row r="14" ht="18" customHeight="1">
      <x:c r="A14" s="41" t="n">
        <x:v>10</x:v>
      </x:c>
      <x:c r="B14" s="38" t="str">
        <x:v>140머6628</x:v>
      </x:c>
      <x:c r="C14" s="38" t="str">
        <x:v>아반떼 AD</x:v>
      </x:c>
      <x:c r="D14" s="41" t="str">
        <x:v>본사</x:v>
      </x:c>
      <x:c r="E14" s="41" t="n">
        <x:v>2017</x:v>
      </x:c>
      <x:c r="F14" s="44" t="n">
        <x:v>42907</x:v>
      </x:c>
      <x:c r="G14" s="41" t="str">
        <x:v>현금</x:v>
      </x:c>
      <x:c r="H14" s="41" t="str"/>
      <x:c r="I14" s="41" t="str">
        <x:v>폐차</x:v>
      </x:c>
      <x:c r="J14" s="38" t="str">
        <x:v>2025-12-04 폐차</x:v>
      </x:c>
      <x:c r="K14" s="1"/>
      <x:c r="L14" s="1"/>
      <x:c r="M14" s="1"/>
      <x:c r="N14" s="1"/>
      <x:c r="O14" s="1"/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48" t="str">
        <x:f>IF(I14="보유",COUNTIF($I$5:I14,"보유"),"")</x:f>
      </x:c>
      <x:c r="AA14" s="1"/>
      <x:c r="AB14" s="1"/>
      <x:c r="AC14" s="1"/>
      <x:c r="AD14" s="1"/>
      <x:c r="AE14" s="1"/>
    </x:row>
    <x:row r="15" ht="18" customHeight="1">
      <x:c r="A15" s="41"/>
      <x:c r="B15" s="38"/>
      <x:c r="C15" s="38"/>
      <x:c r="D15" s="41"/>
      <x:c r="E15" s="41"/>
      <x:c r="F15" s="44"/>
      <x:c r="G15" s="41"/>
      <x:c r="H15" s="41"/>
      <x:c r="I15" s="41"/>
      <x:c r="J15" s="38"/>
      <x:c r="K15" s="1"/>
      <x:c r="L15" s="1"/>
      <x:c r="M15" s="1"/>
      <x:c r="N15" s="1"/>
      <x:c r="O15" s="1"/>
      <x:c r="P15" s="1"/>
      <x:c r="Q15" s="1"/>
      <x:c r="R15" s="1"/>
      <x:c r="S15" s="1"/>
      <x:c r="T15" s="1"/>
      <x:c r="U15" s="1"/>
      <x:c r="V15" s="1"/>
      <x:c r="W15" s="1"/>
      <x:c r="X15" s="1"/>
      <x:c r="Y15" s="1"/>
      <x:c r="Z15" s="48" t="str">
        <x:f>IF(I15="보유",COUNTIF($I$5:I15,"보유"),"")</x:f>
      </x:c>
      <x:c r="AA15" s="1"/>
      <x:c r="AB15" s="1"/>
      <x:c r="AC15" s="1"/>
      <x:c r="AD15" s="1"/>
      <x:c r="AE15" s="1"/>
    </x:row>
    <x:row r="16" ht="18" customHeight="1">
      <x:c r="A16" s="41"/>
      <x:c r="B16" s="38"/>
      <x:c r="C16" s="38"/>
      <x:c r="D16" s="41"/>
      <x:c r="E16" s="41"/>
      <x:c r="F16" s="44"/>
      <x:c r="G16" s="41"/>
      <x:c r="H16" s="41"/>
      <x:c r="I16" s="41"/>
      <x:c r="J16" s="38"/>
      <x:c r="K16" s="1"/>
      <x:c r="L16" s="1"/>
      <x:c r="M16" s="1"/>
      <x:c r="N16" s="1"/>
      <x:c r="O16" s="1"/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48" t="str">
        <x:f>IF(I16="보유",COUNTIF($I$5:I16,"보유"),"")</x:f>
      </x:c>
      <x:c r="AA16" s="1"/>
      <x:c r="AB16" s="1"/>
      <x:c r="AC16" s="1"/>
      <x:c r="AD16" s="1"/>
      <x:c r="AE16" s="1"/>
    </x:row>
    <x:row r="17" ht="18" customHeight="1">
      <x:c r="A17" s="41"/>
      <x:c r="B17" s="38"/>
      <x:c r="C17" s="38"/>
      <x:c r="D17" s="41"/>
      <x:c r="E17" s="41"/>
      <x:c r="F17" s="44"/>
      <x:c r="G17" s="41"/>
      <x:c r="H17" s="41"/>
      <x:c r="I17" s="41"/>
      <x:c r="J17" s="38"/>
      <x:c r="K17" s="1"/>
      <x:c r="L17" s="1"/>
      <x:c r="M17" s="1"/>
      <x:c r="N17" s="1"/>
      <x:c r="O17" s="1"/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48" t="str">
        <x:f>IF(I17="보유",COUNTIF($I$5:I17,"보유"),"")</x:f>
      </x:c>
      <x:c r="AA17" s="1"/>
      <x:c r="AB17" s="1"/>
      <x:c r="AC17" s="1"/>
      <x:c r="AD17" s="1"/>
      <x:c r="AE17" s="1"/>
    </x:row>
    <x:row r="18" ht="18" customHeight="1">
      <x:c r="A18" s="41"/>
      <x:c r="B18" s="38"/>
      <x:c r="C18" s="38"/>
      <x:c r="D18" s="41"/>
      <x:c r="E18" s="41"/>
      <x:c r="F18" s="44"/>
      <x:c r="G18" s="41"/>
      <x:c r="H18" s="41"/>
      <x:c r="I18" s="41"/>
      <x:c r="J18" s="38"/>
      <x:c r="K18" s="1"/>
      <x:c r="L18" s="1"/>
      <x:c r="M18" s="1"/>
      <x:c r="N18" s="1"/>
      <x:c r="O18" s="1"/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48" t="str">
        <x:f>IF(I18="보유",COUNTIF($I$5:I18,"보유"),"")</x:f>
      </x:c>
      <x:c r="AA18" s="1"/>
      <x:c r="AB18" s="1"/>
      <x:c r="AC18" s="1"/>
      <x:c r="AD18" s="1"/>
      <x:c r="AE18" s="1"/>
    </x:row>
    <x:row r="19" ht="18" customHeight="1">
      <x:c r="A19" s="41"/>
      <x:c r="B19" s="38"/>
      <x:c r="C19" s="38"/>
      <x:c r="D19" s="41"/>
      <x:c r="E19" s="41"/>
      <x:c r="F19" s="44"/>
      <x:c r="G19" s="41"/>
      <x:c r="H19" s="41"/>
      <x:c r="I19" s="41"/>
      <x:c r="J19" s="38"/>
      <x:c r="K19" s="1"/>
      <x:c r="L19" s="1"/>
      <x:c r="M19" s="1"/>
      <x:c r="N19" s="1"/>
      <x:c r="O19" s="1"/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48" t="str">
        <x:f>IF(I19="보유",COUNTIF($I$5:I19,"보유"),"")</x:f>
      </x:c>
      <x:c r="AA19" s="1"/>
      <x:c r="AB19" s="1"/>
      <x:c r="AC19" s="1"/>
      <x:c r="AD19" s="1"/>
      <x:c r="AE19" s="1"/>
    </x:row>
    <x:row r="20" ht="18" customHeight="1">
      <x:c r="A20" s="41"/>
      <x:c r="B20" s="38"/>
      <x:c r="C20" s="38"/>
      <x:c r="D20" s="41"/>
      <x:c r="E20" s="41"/>
      <x:c r="F20" s="44"/>
      <x:c r="G20" s="41"/>
      <x:c r="H20" s="41"/>
      <x:c r="I20" s="41"/>
      <x:c r="J20" s="38"/>
      <x:c r="K20" s="1"/>
      <x:c r="L20" s="1"/>
      <x:c r="M20" s="1"/>
      <x:c r="N20" s="1"/>
      <x:c r="O20" s="1"/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48" t="str">
        <x:f>IF(I20="보유",COUNTIF($I$5:I20,"보유"),"")</x:f>
      </x:c>
      <x:c r="AA20" s="1"/>
      <x:c r="AB20" s="1"/>
      <x:c r="AC20" s="1"/>
      <x:c r="AD20" s="1"/>
      <x:c r="AE20" s="1"/>
    </x:row>
    <x:row r="21" ht="18" customHeight="1">
      <x:c r="A21" s="41"/>
      <x:c r="B21" s="38"/>
      <x:c r="C21" s="38"/>
      <x:c r="D21" s="41"/>
      <x:c r="E21" s="41"/>
      <x:c r="F21" s="44"/>
      <x:c r="G21" s="41"/>
      <x:c r="H21" s="41"/>
      <x:c r="I21" s="41"/>
      <x:c r="J21" s="38"/>
      <x:c r="K21" s="1"/>
      <x:c r="L21" s="1"/>
      <x:c r="M21" s="1"/>
      <x:c r="N21" s="1"/>
      <x:c r="O21" s="1"/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48" t="str">
        <x:f>IF(I21="보유",COUNTIF($I$5:I21,"보유"),"")</x:f>
      </x:c>
      <x:c r="AA21" s="1"/>
      <x:c r="AB21" s="1"/>
      <x:c r="AC21" s="1"/>
      <x:c r="AD21" s="1"/>
      <x:c r="AE21" s="1"/>
    </x:row>
    <x:row r="22" ht="18" customHeight="1">
      <x:c r="A22" s="41"/>
      <x:c r="B22" s="38"/>
      <x:c r="C22" s="38"/>
      <x:c r="D22" s="41"/>
      <x:c r="E22" s="41"/>
      <x:c r="F22" s="44"/>
      <x:c r="G22" s="41"/>
      <x:c r="H22" s="41"/>
      <x:c r="I22" s="41"/>
      <x:c r="J22" s="38"/>
      <x:c r="K22" s="1"/>
      <x:c r="L22" s="1"/>
      <x:c r="M22" s="1"/>
      <x:c r="N22" s="1"/>
      <x:c r="O22" s="1"/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48" t="str">
        <x:f>IF(I22="보유",COUNTIF($I$5:I22,"보유"),"")</x:f>
      </x:c>
      <x:c r="AA22" s="1"/>
      <x:c r="AB22" s="1"/>
      <x:c r="AC22" s="1"/>
      <x:c r="AD22" s="1"/>
      <x:c r="AE22" s="1"/>
    </x:row>
    <x:row r="23" ht="18" customHeight="1">
      <x:c r="A23" s="41"/>
      <x:c r="B23" s="38"/>
      <x:c r="C23" s="38"/>
      <x:c r="D23" s="41"/>
      <x:c r="E23" s="41"/>
      <x:c r="F23" s="44"/>
      <x:c r="G23" s="41"/>
      <x:c r="H23" s="41"/>
      <x:c r="I23" s="41"/>
      <x:c r="J23" s="38"/>
      <x:c r="K23" s="1"/>
      <x:c r="L23" s="1"/>
      <x:c r="M23" s="1"/>
      <x:c r="N23" s="1"/>
      <x:c r="O23" s="1"/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48" t="str">
        <x:f>IF(I23="보유",COUNTIF($I$5:I23,"보유"),"")</x:f>
      </x:c>
      <x:c r="AA23" s="1"/>
      <x:c r="AB23" s="1"/>
      <x:c r="AC23" s="1"/>
      <x:c r="AD23" s="1"/>
      <x:c r="AE23" s="1"/>
    </x:row>
    <x:row r="24" ht="18" customHeight="1">
      <x:c r="A24" s="41"/>
      <x:c r="B24" s="38"/>
      <x:c r="C24" s="38"/>
      <x:c r="D24" s="41"/>
      <x:c r="E24" s="41"/>
      <x:c r="F24" s="44"/>
      <x:c r="G24" s="41"/>
      <x:c r="H24" s="41"/>
      <x:c r="I24" s="41"/>
      <x:c r="J24" s="38"/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48" t="str">
        <x:f>IF(I24="보유",COUNTIF($I$5:I24,"보유"),"")</x:f>
      </x:c>
      <x:c r="AA24" s="1"/>
      <x:c r="AB24" s="1"/>
      <x:c r="AC24" s="1"/>
      <x:c r="AD24" s="1"/>
      <x:c r="AE24" s="1"/>
    </x:row>
    <x:row r="25" ht="18" customHeight="1">
      <x:c r="A25" s="41"/>
      <x:c r="B25" s="38"/>
      <x:c r="C25" s="38"/>
      <x:c r="D25" s="41"/>
      <x:c r="E25" s="41"/>
      <x:c r="F25" s="44"/>
      <x:c r="G25" s="41"/>
      <x:c r="H25" s="41"/>
      <x:c r="I25" s="41"/>
      <x:c r="J25" s="38"/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48" t="str">
        <x:f>IF(I25="보유",COUNTIF($I$5:I25,"보유"),"")</x:f>
      </x:c>
      <x:c r="AA25" s="1"/>
      <x:c r="AB25" s="1"/>
      <x:c r="AC25" s="1"/>
      <x:c r="AD25" s="1"/>
      <x:c r="AE25" s="1"/>
    </x:row>
    <x:row r="26" ht="18" customHeight="1">
      <x:c r="A26" s="41"/>
      <x:c r="B26" s="38"/>
      <x:c r="C26" s="38"/>
      <x:c r="D26" s="41"/>
      <x:c r="E26" s="41"/>
      <x:c r="F26" s="44"/>
      <x:c r="G26" s="41"/>
      <x:c r="H26" s="41"/>
      <x:c r="I26" s="41"/>
      <x:c r="J26" s="38"/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48" t="str">
        <x:f>IF(I26="보유",COUNTIF($I$5:I26,"보유"),"")</x:f>
      </x:c>
      <x:c r="AA26" s="1"/>
      <x:c r="AB26" s="1"/>
      <x:c r="AC26" s="1"/>
      <x:c r="AD26" s="1"/>
      <x:c r="AE26" s="1"/>
    </x:row>
    <x:row r="27" ht="18" customHeight="1">
      <x:c r="A27" s="41"/>
      <x:c r="B27" s="38"/>
      <x:c r="C27" s="38"/>
      <x:c r="D27" s="41"/>
      <x:c r="E27" s="41"/>
      <x:c r="F27" s="44"/>
      <x:c r="G27" s="41"/>
      <x:c r="H27" s="41"/>
      <x:c r="I27" s="41"/>
      <x:c r="J27" s="38"/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48" t="str">
        <x:f>IF(I27="보유",COUNTIF($I$5:I27,"보유"),"")</x:f>
      </x:c>
      <x:c r="AA27" s="1"/>
      <x:c r="AB27" s="1"/>
      <x:c r="AC27" s="1"/>
      <x:c r="AD27" s="1"/>
      <x:c r="AE27" s="1"/>
    </x:row>
    <x:row r="28" ht="18" customHeight="1">
      <x:c r="A28" s="41"/>
      <x:c r="B28" s="38"/>
      <x:c r="C28" s="38"/>
      <x:c r="D28" s="41"/>
      <x:c r="E28" s="41"/>
      <x:c r="F28" s="44"/>
      <x:c r="G28" s="41"/>
      <x:c r="H28" s="41"/>
      <x:c r="I28" s="41"/>
      <x:c r="J28" s="38"/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48" t="str">
        <x:f>IF(I28="보유",COUNTIF($I$5:I28,"보유"),"")</x:f>
      </x:c>
      <x:c r="AA28" s="1"/>
      <x:c r="AB28" s="1"/>
      <x:c r="AC28" s="1"/>
      <x:c r="AD28" s="1"/>
      <x:c r="AE28" s="1"/>
    </x:row>
    <x:row r="29" ht="18" customHeight="1">
      <x:c r="A29" s="41"/>
      <x:c r="B29" s="38"/>
      <x:c r="C29" s="38"/>
      <x:c r="D29" s="41"/>
      <x:c r="E29" s="41"/>
      <x:c r="F29" s="44"/>
      <x:c r="G29" s="41"/>
      <x:c r="H29" s="41"/>
      <x:c r="I29" s="41"/>
      <x:c r="J29" s="38"/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48" t="str">
        <x:f>IF(I29="보유",COUNTIF($I$5:I29,"보유"),"")</x:f>
      </x:c>
      <x:c r="AA29" s="1"/>
      <x:c r="AB29" s="1"/>
      <x:c r="AC29" s="1"/>
      <x:c r="AD29" s="1"/>
      <x:c r="AE29" s="1"/>
    </x:row>
    <x:row r="30" ht="18" customHeight="1">
      <x:c r="A30" s="41"/>
      <x:c r="B30" s="38"/>
      <x:c r="C30" s="38"/>
      <x:c r="D30" s="41"/>
      <x:c r="E30" s="41"/>
      <x:c r="F30" s="44"/>
      <x:c r="G30" s="41"/>
      <x:c r="H30" s="41"/>
      <x:c r="I30" s="41"/>
      <x:c r="J30" s="38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48" t="str">
        <x:f>IF(I30="보유",COUNTIF($I$5:I30,"보유"),"")</x:f>
      </x:c>
      <x:c r="AA30" s="1"/>
      <x:c r="AB30" s="1"/>
      <x:c r="AC30" s="1"/>
      <x:c r="AD30" s="1"/>
      <x:c r="AE30" s="1"/>
    </x:row>
    <x:row r="31" ht="18" customHeight="1">
      <x:c r="A31" s="41"/>
      <x:c r="B31" s="38"/>
      <x:c r="C31" s="38"/>
      <x:c r="D31" s="41"/>
      <x:c r="E31" s="41"/>
      <x:c r="F31" s="44"/>
      <x:c r="G31" s="41"/>
      <x:c r="H31" s="41"/>
      <x:c r="I31" s="41"/>
      <x:c r="J31" s="38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48" t="str">
        <x:f>IF(I31="보유",COUNTIF($I$5:I31,"보유"),"")</x:f>
      </x:c>
      <x:c r="AA31" s="1"/>
      <x:c r="AB31" s="1"/>
      <x:c r="AC31" s="1"/>
      <x:c r="AD31" s="1"/>
      <x:c r="AE31" s="1"/>
    </x:row>
    <x:row r="32" ht="18" customHeight="1">
      <x:c r="A32" s="41"/>
      <x:c r="B32" s="38"/>
      <x:c r="C32" s="38"/>
      <x:c r="D32" s="41"/>
      <x:c r="E32" s="41"/>
      <x:c r="F32" s="44"/>
      <x:c r="G32" s="41"/>
      <x:c r="H32" s="41"/>
      <x:c r="I32" s="41"/>
      <x:c r="J32" s="38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48" t="str">
        <x:f>IF(I32="보유",COUNTIF($I$5:I32,"보유"),"")</x:f>
      </x:c>
      <x:c r="AA32" s="1"/>
      <x:c r="AB32" s="1"/>
      <x:c r="AC32" s="1"/>
      <x:c r="AD32" s="1"/>
      <x:c r="AE32" s="1"/>
    </x:row>
    <x:row r="33" ht="18" customHeight="1">
      <x:c r="A33" s="41"/>
      <x:c r="B33" s="38"/>
      <x:c r="C33" s="38"/>
      <x:c r="D33" s="41"/>
      <x:c r="E33" s="41"/>
      <x:c r="F33" s="44"/>
      <x:c r="G33" s="41"/>
      <x:c r="H33" s="41"/>
      <x:c r="I33" s="41"/>
      <x:c r="J33" s="38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48" t="str">
        <x:f>IF(I33="보유",COUNTIF($I$5:I33,"보유"),"")</x:f>
      </x:c>
      <x:c r="AA33" s="1"/>
      <x:c r="AB33" s="1"/>
      <x:c r="AC33" s="1"/>
      <x:c r="AD33" s="1"/>
      <x:c r="AE33" s="1"/>
    </x:row>
    <x:row r="34" ht="18" customHeight="1">
      <x:c r="A34" s="41"/>
      <x:c r="B34" s="38"/>
      <x:c r="C34" s="38"/>
      <x:c r="D34" s="41"/>
      <x:c r="E34" s="41"/>
      <x:c r="F34" s="44"/>
      <x:c r="G34" s="41"/>
      <x:c r="H34" s="41"/>
      <x:c r="I34" s="41"/>
      <x:c r="J34" s="38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48" t="str">
        <x:f>IF(I34="보유",COUNTIF($I$5:I34,"보유"),"")</x:f>
      </x:c>
      <x:c r="AA34" s="1"/>
      <x:c r="AB34" s="1"/>
      <x:c r="AC34" s="1"/>
      <x:c r="AD34" s="1"/>
      <x:c r="AE34" s="1"/>
    </x:row>
    <x:row r="35" ht="18" customHeight="1">
      <x:c r="A35" s="41"/>
      <x:c r="B35" s="38"/>
      <x:c r="C35" s="38"/>
      <x:c r="D35" s="41"/>
      <x:c r="E35" s="41"/>
      <x:c r="F35" s="44"/>
      <x:c r="G35" s="41"/>
      <x:c r="H35" s="41"/>
      <x:c r="I35" s="41"/>
      <x:c r="J35" s="38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48" t="str">
        <x:f>IF(I35="보유",COUNTIF($I$5:I35,"보유"),"")</x:f>
      </x:c>
      <x:c r="AA35" s="1"/>
      <x:c r="AB35" s="1"/>
      <x:c r="AC35" s="1"/>
      <x:c r="AD35" s="1"/>
      <x:c r="AE35" s="1"/>
    </x:row>
    <x:row r="36" ht="18" customHeight="1">
      <x:c r="A36" s="41"/>
      <x:c r="B36" s="38"/>
      <x:c r="C36" s="38"/>
      <x:c r="D36" s="41"/>
      <x:c r="E36" s="41"/>
      <x:c r="F36" s="44"/>
      <x:c r="G36" s="41"/>
      <x:c r="H36" s="41"/>
      <x:c r="I36" s="41"/>
      <x:c r="J36" s="38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48" t="str">
        <x:f>IF(I36="보유",COUNTIF($I$5:I36,"보유"),"")</x:f>
      </x:c>
      <x:c r="AA36" s="1"/>
      <x:c r="AB36" s="1"/>
      <x:c r="AC36" s="1"/>
      <x:c r="AD36" s="1"/>
      <x:c r="AE36" s="1"/>
    </x:row>
    <x:row r="37" ht="18" customHeight="1">
      <x:c r="A37" s="41"/>
      <x:c r="B37" s="38"/>
      <x:c r="C37" s="38"/>
      <x:c r="D37" s="41"/>
      <x:c r="E37" s="41"/>
      <x:c r="F37" s="44"/>
      <x:c r="G37" s="41"/>
      <x:c r="H37" s="41"/>
      <x:c r="I37" s="41"/>
      <x:c r="J37" s="38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48" t="str">
        <x:f>IF(I37="보유",COUNTIF($I$5:I37,"보유"),"")</x:f>
      </x:c>
      <x:c r="AA37" s="1"/>
      <x:c r="AB37" s="1"/>
      <x:c r="AC37" s="1"/>
      <x:c r="AD37" s="1"/>
      <x:c r="AE37" s="1"/>
    </x:row>
    <x:row r="38" ht="18" customHeight="1">
      <x:c r="A38" s="41"/>
      <x:c r="B38" s="38"/>
      <x:c r="C38" s="38"/>
      <x:c r="D38" s="41"/>
      <x:c r="E38" s="41"/>
      <x:c r="F38" s="44"/>
      <x:c r="G38" s="41"/>
      <x:c r="H38" s="41"/>
      <x:c r="I38" s="41"/>
      <x:c r="J38" s="38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48" t="str">
        <x:f>IF(I38="보유",COUNTIF($I$5:I38,"보유"),"")</x:f>
      </x:c>
      <x:c r="AA38" s="1"/>
      <x:c r="AB38" s="1"/>
      <x:c r="AC38" s="1"/>
      <x:c r="AD38" s="1"/>
      <x:c r="AE38" s="1"/>
    </x:row>
    <x:row r="39" ht="18" customHeight="1">
      <x:c r="A39" s="41"/>
      <x:c r="B39" s="38"/>
      <x:c r="C39" s="38"/>
      <x:c r="D39" s="41"/>
      <x:c r="E39" s="41"/>
      <x:c r="F39" s="44"/>
      <x:c r="G39" s="41"/>
      <x:c r="H39" s="41"/>
      <x:c r="I39" s="41"/>
      <x:c r="J39" s="38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48" t="str">
        <x:f>IF(I39="보유",COUNTIF($I$5:I39,"보유"),"")</x:f>
      </x:c>
      <x:c r="AA39" s="1"/>
      <x:c r="AB39" s="1"/>
      <x:c r="AC39" s="1"/>
      <x:c r="AD39" s="1"/>
      <x:c r="AE39" s="1"/>
    </x:row>
    <x:row r="40" ht="18" customHeight="1">
      <x:c r="A40" s="41"/>
      <x:c r="B40" s="38"/>
      <x:c r="C40" s="38"/>
      <x:c r="D40" s="41"/>
      <x:c r="E40" s="41"/>
      <x:c r="F40" s="44"/>
      <x:c r="G40" s="41"/>
      <x:c r="H40" s="41"/>
      <x:c r="I40" s="41"/>
      <x:c r="J40" s="38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48" t="str">
        <x:f>IF(I40="보유",COUNTIF($I$5:I40,"보유"),"")</x:f>
      </x:c>
      <x:c r="AA40" s="1"/>
      <x:c r="AB40" s="1"/>
      <x:c r="AC40" s="1"/>
      <x:c r="AD40" s="1"/>
      <x:c r="AE40" s="1"/>
    </x:row>
    <x:row r="41" ht="18" customHeight="1">
      <x:c r="A41" s="41"/>
      <x:c r="B41" s="38"/>
      <x:c r="C41" s="38"/>
      <x:c r="D41" s="41"/>
      <x:c r="E41" s="41"/>
      <x:c r="F41" s="44"/>
      <x:c r="G41" s="41"/>
      <x:c r="H41" s="41"/>
      <x:c r="I41" s="41"/>
      <x:c r="J41" s="38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48" t="str">
        <x:f>IF(I41="보유",COUNTIF($I$5:I41,"보유"),"")</x:f>
      </x:c>
      <x:c r="AA41" s="1"/>
      <x:c r="AB41" s="1"/>
      <x:c r="AC41" s="1"/>
      <x:c r="AD41" s="1"/>
      <x:c r="AE41" s="1"/>
    </x:row>
    <x:row r="42" ht="18" customHeight="1">
      <x:c r="A42" s="41"/>
      <x:c r="B42" s="38"/>
      <x:c r="C42" s="38"/>
      <x:c r="D42" s="41"/>
      <x:c r="E42" s="41"/>
      <x:c r="F42" s="44"/>
      <x:c r="G42" s="41"/>
      <x:c r="H42" s="41"/>
      <x:c r="I42" s="41"/>
      <x:c r="J42" s="38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48" t="str">
        <x:f>IF(I42="보유",COUNTIF($I$5:I42,"보유"),"")</x:f>
      </x:c>
      <x:c r="AA42" s="1"/>
      <x:c r="AB42" s="1"/>
      <x:c r="AC42" s="1"/>
      <x:c r="AD42" s="1"/>
      <x:c r="AE42" s="1"/>
    </x:row>
    <x:row r="43" ht="18" customHeight="1">
      <x:c r="A43" s="41"/>
      <x:c r="B43" s="38"/>
      <x:c r="C43" s="38"/>
      <x:c r="D43" s="41"/>
      <x:c r="E43" s="41"/>
      <x:c r="F43" s="44"/>
      <x:c r="G43" s="41"/>
      <x:c r="H43" s="41"/>
      <x:c r="I43" s="41"/>
      <x:c r="J43" s="38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48" t="str">
        <x:f>IF(I43="보유",COUNTIF($I$5:I43,"보유"),"")</x:f>
      </x:c>
      <x:c r="AA43" s="1"/>
      <x:c r="AB43" s="1"/>
      <x:c r="AC43" s="1"/>
      <x:c r="AD43" s="1"/>
      <x:c r="AE43" s="1"/>
    </x:row>
    <x:row r="44" ht="18" customHeight="1">
      <x:c r="A44" s="41"/>
      <x:c r="B44" s="38"/>
      <x:c r="C44" s="38"/>
      <x:c r="D44" s="41"/>
      <x:c r="E44" s="41"/>
      <x:c r="F44" s="44"/>
      <x:c r="G44" s="41"/>
      <x:c r="H44" s="41"/>
      <x:c r="I44" s="41"/>
      <x:c r="J44" s="38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48" t="str">
        <x:f>IF(I44="보유",COUNTIF($I$5:I44,"보유"),"")</x:f>
      </x:c>
      <x:c r="AA44" s="1"/>
      <x:c r="AB44" s="1"/>
      <x:c r="AC44" s="1"/>
      <x:c r="AD44" s="1"/>
      <x:c r="AE44" s="1"/>
    </x:row>
    <x:row r="45" ht="18" customHeight="1">
      <x:c r="A45" s="41"/>
      <x:c r="B45" s="38"/>
      <x:c r="C45" s="38"/>
      <x:c r="D45" s="41"/>
      <x:c r="E45" s="41"/>
      <x:c r="F45" s="44"/>
      <x:c r="G45" s="41"/>
      <x:c r="H45" s="41"/>
      <x:c r="I45" s="41"/>
      <x:c r="J45" s="38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48" t="str">
        <x:f>IF(I45="보유",COUNTIF($I$5:I45,"보유"),"")</x:f>
      </x:c>
      <x:c r="AA45" s="1"/>
      <x:c r="AB45" s="1"/>
      <x:c r="AC45" s="1"/>
      <x:c r="AD45" s="1"/>
      <x:c r="AE45" s="1"/>
    </x:row>
    <x:row r="46" ht="18" customHeight="1">
      <x:c r="A46" s="41"/>
      <x:c r="B46" s="38"/>
      <x:c r="C46" s="38"/>
      <x:c r="D46" s="41"/>
      <x:c r="E46" s="41"/>
      <x:c r="F46" s="44"/>
      <x:c r="G46" s="41"/>
      <x:c r="H46" s="41"/>
      <x:c r="I46" s="41"/>
      <x:c r="J46" s="38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48" t="str">
        <x:f>IF(I46="보유",COUNTIF($I$5:I46,"보유"),"")</x:f>
      </x:c>
      <x:c r="AA46" s="1"/>
      <x:c r="AB46" s="1"/>
      <x:c r="AC46" s="1"/>
      <x:c r="AD46" s="1"/>
      <x:c r="AE46" s="1"/>
    </x:row>
    <x:row r="47" ht="18" customHeight="1">
      <x:c r="A47" s="41"/>
      <x:c r="B47" s="38"/>
      <x:c r="C47" s="38"/>
      <x:c r="D47" s="41"/>
      <x:c r="E47" s="41"/>
      <x:c r="F47" s="44"/>
      <x:c r="G47" s="41"/>
      <x:c r="H47" s="41"/>
      <x:c r="I47" s="41"/>
      <x:c r="J47" s="38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48" t="str">
        <x:f>IF(I47="보유",COUNTIF($I$5:I47,"보유"),"")</x:f>
      </x:c>
      <x:c r="AA47" s="1"/>
      <x:c r="AB47" s="1"/>
      <x:c r="AC47" s="1"/>
      <x:c r="AD47" s="1"/>
      <x:c r="AE47" s="1"/>
    </x:row>
    <x:row r="48" ht="18" customHeight="1">
      <x:c r="A48" s="41"/>
      <x:c r="B48" s="38"/>
      <x:c r="C48" s="38"/>
      <x:c r="D48" s="41"/>
      <x:c r="E48" s="41"/>
      <x:c r="F48" s="44"/>
      <x:c r="G48" s="41"/>
      <x:c r="H48" s="41"/>
      <x:c r="I48" s="41"/>
      <x:c r="J48" s="38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48" t="str">
        <x:f>IF(I48="보유",COUNTIF($I$5:I48,"보유"),"")</x:f>
      </x:c>
      <x:c r="AA48" s="1"/>
      <x:c r="AB48" s="1"/>
      <x:c r="AC48" s="1"/>
      <x:c r="AD48" s="1"/>
      <x:c r="AE48" s="1"/>
    </x:row>
    <x:row r="49" ht="18" customHeight="1">
      <x:c r="A49" s="41"/>
      <x:c r="B49" s="38"/>
      <x:c r="C49" s="38"/>
      <x:c r="D49" s="41"/>
      <x:c r="E49" s="41"/>
      <x:c r="F49" s="44"/>
      <x:c r="G49" s="41"/>
      <x:c r="H49" s="41"/>
      <x:c r="I49" s="41"/>
      <x:c r="J49" s="38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48" t="str">
        <x:f>IF(I49="보유",COUNTIF($I$5:I49,"보유"),"")</x:f>
      </x:c>
      <x:c r="AA49" s="1"/>
      <x:c r="AB49" s="1"/>
      <x:c r="AC49" s="1"/>
      <x:c r="AD49" s="1"/>
      <x:c r="AE49" s="1"/>
    </x:row>
    <x:row r="50" ht="18" customHeight="1">
      <x:c r="A50" s="41"/>
      <x:c r="B50" s="38"/>
      <x:c r="C50" s="38"/>
      <x:c r="D50" s="41"/>
      <x:c r="E50" s="41"/>
      <x:c r="F50" s="44"/>
      <x:c r="G50" s="41"/>
      <x:c r="H50" s="41"/>
      <x:c r="I50" s="41"/>
      <x:c r="J50" s="38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48" t="str">
        <x:f>IF(I50="보유",COUNTIF($I$5:I50,"보유"),"")</x:f>
      </x:c>
      <x:c r="AA50" s="1"/>
      <x:c r="AB50" s="1"/>
      <x:c r="AC50" s="1"/>
      <x:c r="AD50" s="1"/>
      <x:c r="AE50" s="1"/>
    </x:row>
    <x:row r="51" ht="18" customHeight="1">
      <x:c r="A51" s="41"/>
      <x:c r="B51" s="38"/>
      <x:c r="C51" s="38"/>
      <x:c r="D51" s="41"/>
      <x:c r="E51" s="41"/>
      <x:c r="F51" s="44"/>
      <x:c r="G51" s="41"/>
      <x:c r="H51" s="41"/>
      <x:c r="I51" s="41"/>
      <x:c r="J51" s="38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48" t="str">
        <x:f>IF(I51="보유",COUNTIF($I$5:I51,"보유"),"")</x:f>
      </x:c>
      <x:c r="AA51" s="1"/>
      <x:c r="AB51" s="1"/>
      <x:c r="AC51" s="1"/>
      <x:c r="AD51" s="1"/>
      <x:c r="AE51" s="1"/>
    </x:row>
    <x:row r="52" ht="18" customHeight="1">
      <x:c r="A52" s="41"/>
      <x:c r="B52" s="38"/>
      <x:c r="C52" s="38"/>
      <x:c r="D52" s="41"/>
      <x:c r="E52" s="41"/>
      <x:c r="F52" s="44"/>
      <x:c r="G52" s="41"/>
      <x:c r="H52" s="41"/>
      <x:c r="I52" s="41"/>
      <x:c r="J52" s="38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48" t="str">
        <x:f>IF(I52="보유",COUNTIF($I$5:I52,"보유"),"")</x:f>
      </x:c>
      <x:c r="AA52" s="1"/>
      <x:c r="AB52" s="1"/>
      <x:c r="AC52" s="1"/>
      <x:c r="AD52" s="1"/>
      <x:c r="AE52" s="1"/>
    </x:row>
    <x:row r="53" ht="18" customHeight="1">
      <x:c r="A53" s="41"/>
      <x:c r="B53" s="38"/>
      <x:c r="C53" s="38"/>
      <x:c r="D53" s="41"/>
      <x:c r="E53" s="41"/>
      <x:c r="F53" s="44"/>
      <x:c r="G53" s="41"/>
      <x:c r="H53" s="41"/>
      <x:c r="I53" s="41"/>
      <x:c r="J53" s="38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48" t="str">
        <x:f>IF(I53="보유",COUNTIF($I$5:I53,"보유"),"")</x:f>
      </x:c>
      <x:c r="AA53" s="1"/>
      <x:c r="AB53" s="1"/>
      <x:c r="AC53" s="1"/>
      <x:c r="AD53" s="1"/>
      <x:c r="AE53" s="1"/>
    </x:row>
    <x:row r="54" ht="18" customHeight="1">
      <x:c r="A54" s="41"/>
      <x:c r="B54" s="38"/>
      <x:c r="C54" s="38"/>
      <x:c r="D54" s="41"/>
      <x:c r="E54" s="41"/>
      <x:c r="F54" s="44"/>
      <x:c r="G54" s="41"/>
      <x:c r="H54" s="41"/>
      <x:c r="I54" s="41"/>
      <x:c r="J54" s="38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48" t="str">
        <x:f>IF(I54="보유",COUNTIF($I$5:I54,"보유"),"")</x:f>
      </x:c>
      <x:c r="AA54" s="1"/>
      <x:c r="AB54" s="1"/>
      <x:c r="AC54" s="1"/>
      <x:c r="AD54" s="1"/>
      <x:c r="AE54" s="1"/>
    </x:row>
    <x:row r="55" ht="18" customHeight="1">
      <x:c r="A55" s="41"/>
      <x:c r="B55" s="38"/>
      <x:c r="C55" s="38"/>
      <x:c r="D55" s="41"/>
      <x:c r="E55" s="41"/>
      <x:c r="F55" s="44"/>
      <x:c r="G55" s="41"/>
      <x:c r="H55" s="41"/>
      <x:c r="I55" s="41"/>
      <x:c r="J55" s="38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48" t="str">
        <x:f>IF(I55="보유",COUNTIF($I$5:I55,"보유"),"")</x:f>
      </x:c>
      <x:c r="AA55" s="1"/>
      <x:c r="AB55" s="1"/>
      <x:c r="AC55" s="1"/>
      <x:c r="AD55" s="1"/>
      <x:c r="AE55" s="1"/>
    </x:row>
    <x:row r="56" ht="18" customHeight="1">
      <x:c r="A56" s="41"/>
      <x:c r="B56" s="38"/>
      <x:c r="C56" s="38"/>
      <x:c r="D56" s="41"/>
      <x:c r="E56" s="41"/>
      <x:c r="F56" s="44"/>
      <x:c r="G56" s="41"/>
      <x:c r="H56" s="41"/>
      <x:c r="I56" s="41"/>
      <x:c r="J56" s="38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48" t="str">
        <x:f>IF(I56="보유",COUNTIF($I$5:I56,"보유"),"")</x:f>
      </x:c>
      <x:c r="AA56" s="1"/>
      <x:c r="AB56" s="1"/>
      <x:c r="AC56" s="1"/>
      <x:c r="AD56" s="1"/>
      <x:c r="AE56" s="1"/>
    </x:row>
    <x:row r="57" ht="18" customHeight="1">
      <x:c r="A57" s="41"/>
      <x:c r="B57" s="38"/>
      <x:c r="C57" s="38"/>
      <x:c r="D57" s="41"/>
      <x:c r="E57" s="41"/>
      <x:c r="F57" s="44"/>
      <x:c r="G57" s="41"/>
      <x:c r="H57" s="41"/>
      <x:c r="I57" s="41"/>
      <x:c r="J57" s="38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48" t="str">
        <x:f>IF(I57="보유",COUNTIF($I$5:I57,"보유"),"")</x:f>
      </x:c>
      <x:c r="AA57" s="1"/>
      <x:c r="AB57" s="1"/>
      <x:c r="AC57" s="1"/>
      <x:c r="AD57" s="1"/>
      <x:c r="AE57" s="1"/>
    </x:row>
    <x:row r="58" ht="18" customHeight="1">
      <x:c r="A58" s="41"/>
      <x:c r="B58" s="38"/>
      <x:c r="C58" s="38"/>
      <x:c r="D58" s="41"/>
      <x:c r="E58" s="41"/>
      <x:c r="F58" s="44"/>
      <x:c r="G58" s="41"/>
      <x:c r="H58" s="41"/>
      <x:c r="I58" s="41"/>
      <x:c r="J58" s="38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48" t="str">
        <x:f>IF(I58="보유",COUNTIF($I$5:I58,"보유"),"")</x:f>
      </x:c>
      <x:c r="AA58" s="1"/>
      <x:c r="AB58" s="1"/>
      <x:c r="AC58" s="1"/>
      <x:c r="AD58" s="1"/>
      <x:c r="AE58" s="1"/>
    </x:row>
    <x:row r="59" ht="18" customHeight="1">
      <x:c r="A59" s="41"/>
      <x:c r="B59" s="38"/>
      <x:c r="C59" s="38"/>
      <x:c r="D59" s="41"/>
      <x:c r="E59" s="41"/>
      <x:c r="F59" s="44"/>
      <x:c r="G59" s="41"/>
      <x:c r="H59" s="41"/>
      <x:c r="I59" s="41"/>
      <x:c r="J59" s="38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48" t="str">
        <x:f>IF(I59="보유",COUNTIF($I$5:I59,"보유"),"")</x:f>
      </x:c>
      <x:c r="AA59" s="1"/>
      <x:c r="AB59" s="1"/>
      <x:c r="AC59" s="1"/>
      <x:c r="AD59" s="1"/>
      <x:c r="AE59" s="1"/>
    </x:row>
    <x:row r="60" ht="18" customHeight="1">
      <x:c r="A60" s="41"/>
      <x:c r="B60" s="38"/>
      <x:c r="C60" s="38"/>
      <x:c r="D60" s="41"/>
      <x:c r="E60" s="41"/>
      <x:c r="F60" s="44"/>
      <x:c r="G60" s="41"/>
      <x:c r="H60" s="41"/>
      <x:c r="I60" s="41"/>
      <x:c r="J60" s="38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48" t="str">
        <x:f>IF(I60="보유",COUNTIF($I$5:I60,"보유"),"")</x:f>
      </x:c>
      <x:c r="AA60" s="1"/>
      <x:c r="AB60" s="1"/>
      <x:c r="AC60" s="1"/>
      <x:c r="AD60" s="1"/>
      <x:c r="AE60" s="1"/>
    </x:row>
    <x:row r="61" ht="18" customHeight="1">
      <x:c r="A61" s="41"/>
      <x:c r="B61" s="38"/>
      <x:c r="C61" s="38"/>
      <x:c r="D61" s="41"/>
      <x:c r="E61" s="41"/>
      <x:c r="F61" s="44"/>
      <x:c r="G61" s="41"/>
      <x:c r="H61" s="41"/>
      <x:c r="I61" s="41"/>
      <x:c r="J61" s="38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48" t="str">
        <x:f>IF(I61="보유",COUNTIF($I$5:I61,"보유"),"")</x:f>
      </x:c>
      <x:c r="AA61" s="1"/>
      <x:c r="AB61" s="1"/>
      <x:c r="AC61" s="1"/>
      <x:c r="AD61" s="1"/>
      <x:c r="AE61" s="1"/>
    </x:row>
    <x:row r="62" ht="18" customHeight="1">
      <x:c r="A62" s="41"/>
      <x:c r="B62" s="38"/>
      <x:c r="C62" s="38"/>
      <x:c r="D62" s="41"/>
      <x:c r="E62" s="41"/>
      <x:c r="F62" s="44"/>
      <x:c r="G62" s="41"/>
      <x:c r="H62" s="41"/>
      <x:c r="I62" s="41"/>
      <x:c r="J62" s="38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48" t="str">
        <x:f>IF(I62="보유",COUNTIF($I$5:I62,"보유"),"")</x:f>
      </x:c>
      <x:c r="AA62" s="1"/>
      <x:c r="AB62" s="1"/>
      <x:c r="AC62" s="1"/>
      <x:c r="AD62" s="1"/>
      <x:c r="AE62" s="1"/>
    </x:row>
    <x:row r="63" ht="18" customHeight="1">
      <x:c r="A63" s="41"/>
      <x:c r="B63" s="38"/>
      <x:c r="C63" s="38"/>
      <x:c r="D63" s="41"/>
      <x:c r="E63" s="41"/>
      <x:c r="F63" s="44"/>
      <x:c r="G63" s="41"/>
      <x:c r="H63" s="41"/>
      <x:c r="I63" s="41"/>
      <x:c r="J63" s="38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48" t="str">
        <x:f>IF(I63="보유",COUNTIF($I$5:I63,"보유"),"")</x:f>
      </x:c>
      <x:c r="AA63" s="1"/>
      <x:c r="AB63" s="1"/>
      <x:c r="AC63" s="1"/>
      <x:c r="AD63" s="1"/>
      <x:c r="AE63" s="1"/>
    </x:row>
    <x:row r="64" ht="18" customHeight="1">
      <x:c r="A64" s="41"/>
      <x:c r="B64" s="38"/>
      <x:c r="C64" s="38"/>
      <x:c r="D64" s="41"/>
      <x:c r="E64" s="41"/>
      <x:c r="F64" s="44"/>
      <x:c r="G64" s="41"/>
      <x:c r="H64" s="41"/>
      <x:c r="I64" s="41"/>
      <x:c r="J64" s="38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48" t="str">
        <x:f>IF(I64="보유",COUNTIF($I$5:I64,"보유"),"")</x:f>
      </x:c>
      <x:c r="AA64" s="1"/>
      <x:c r="AB64" s="1"/>
      <x:c r="AC64" s="1"/>
      <x:c r="AD64" s="1"/>
      <x:c r="AE64" s="1"/>
    </x:row>
    <x:row r="65" ht="18" customHeight="1">
      <x:c r="A65" s="41"/>
      <x:c r="B65" s="38"/>
      <x:c r="C65" s="38"/>
      <x:c r="D65" s="41"/>
      <x:c r="E65" s="41"/>
      <x:c r="F65" s="44"/>
      <x:c r="G65" s="41"/>
      <x:c r="H65" s="41"/>
      <x:c r="I65" s="41"/>
      <x:c r="J65" s="38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48" t="str">
        <x:f>IF(I65="보유",COUNTIF($I$5:I65,"보유"),"")</x:f>
      </x:c>
      <x:c r="AA65" s="1"/>
      <x:c r="AB65" s="1"/>
      <x:c r="AC65" s="1"/>
      <x:c r="AD65" s="1"/>
      <x:c r="AE65" s="1"/>
    </x:row>
    <x:row r="66" ht="18" customHeight="1">
      <x:c r="A66" s="41"/>
      <x:c r="B66" s="38"/>
      <x:c r="C66" s="38"/>
      <x:c r="D66" s="41"/>
      <x:c r="E66" s="41"/>
      <x:c r="F66" s="44"/>
      <x:c r="G66" s="41"/>
      <x:c r="H66" s="41"/>
      <x:c r="I66" s="41"/>
      <x:c r="J66" s="38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48" t="str">
        <x:f>IF(I66="보유",COUNTIF($I$5:I66,"보유"),"")</x:f>
      </x:c>
      <x:c r="AA66" s="1"/>
      <x:c r="AB66" s="1"/>
      <x:c r="AC66" s="1"/>
      <x:c r="AD66" s="1"/>
      <x:c r="AE66" s="1"/>
    </x:row>
    <x:row r="67" ht="18" customHeight="1">
      <x:c r="A67" s="41"/>
      <x:c r="B67" s="38"/>
      <x:c r="C67" s="38"/>
      <x:c r="D67" s="41"/>
      <x:c r="E67" s="41"/>
      <x:c r="F67" s="44"/>
      <x:c r="G67" s="41"/>
      <x:c r="H67" s="41"/>
      <x:c r="I67" s="41"/>
      <x:c r="J67" s="38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48" t="str">
        <x:f>IF(I67="보유",COUNTIF($I$5:I67,"보유"),"")</x:f>
      </x:c>
      <x:c r="AA67" s="1"/>
      <x:c r="AB67" s="1"/>
      <x:c r="AC67" s="1"/>
      <x:c r="AD67" s="1"/>
      <x:c r="AE67" s="1"/>
    </x:row>
    <x:row r="68" ht="18" customHeight="1">
      <x:c r="A68" s="41"/>
      <x:c r="B68" s="38"/>
      <x:c r="C68" s="38"/>
      <x:c r="D68" s="41"/>
      <x:c r="E68" s="41"/>
      <x:c r="F68" s="44"/>
      <x:c r="G68" s="41"/>
      <x:c r="H68" s="41"/>
      <x:c r="I68" s="41"/>
      <x:c r="J68" s="38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48" t="str">
        <x:f>IF(I68="보유",COUNTIF($I$5:I68,"보유"),"")</x:f>
      </x:c>
      <x:c r="AA68" s="1"/>
      <x:c r="AB68" s="1"/>
      <x:c r="AC68" s="1"/>
      <x:c r="AD68" s="1"/>
      <x:c r="AE68" s="1"/>
    </x:row>
    <x:row r="69" ht="18" customHeight="1">
      <x:c r="A69" s="41"/>
      <x:c r="B69" s="38"/>
      <x:c r="C69" s="38"/>
      <x:c r="D69" s="41"/>
      <x:c r="E69" s="41"/>
      <x:c r="F69" s="44"/>
      <x:c r="G69" s="41"/>
      <x:c r="H69" s="41"/>
      <x:c r="I69" s="41"/>
      <x:c r="J69" s="38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48" t="str">
        <x:f>IF(I69="보유",COUNTIF($I$5:I69,"보유"),"")</x:f>
      </x:c>
      <x:c r="AA69" s="1"/>
      <x:c r="AB69" s="1"/>
      <x:c r="AC69" s="1"/>
      <x:c r="AD69" s="1"/>
      <x:c r="AE69" s="1"/>
    </x:row>
    <x:row r="70" ht="18" customHeight="1">
      <x:c r="A70" s="41"/>
      <x:c r="B70" s="38"/>
      <x:c r="C70" s="38"/>
      <x:c r="D70" s="41"/>
      <x:c r="E70" s="41"/>
      <x:c r="F70" s="44"/>
      <x:c r="G70" s="41"/>
      <x:c r="H70" s="41"/>
      <x:c r="I70" s="41"/>
      <x:c r="J70" s="38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48" t="str">
        <x:f>IF(I70="보유",COUNTIF($I$5:I70,"보유"),"")</x:f>
      </x:c>
      <x:c r="AA70" s="1"/>
      <x:c r="AB70" s="1"/>
      <x:c r="AC70" s="1"/>
      <x:c r="AD70" s="1"/>
      <x:c r="AE70" s="1"/>
    </x:row>
    <x:row r="71" ht="18" customHeight="1">
      <x:c r="A71" s="41"/>
      <x:c r="B71" s="38"/>
      <x:c r="C71" s="38"/>
      <x:c r="D71" s="41"/>
      <x:c r="E71" s="41"/>
      <x:c r="F71" s="44"/>
      <x:c r="G71" s="41"/>
      <x:c r="H71" s="41"/>
      <x:c r="I71" s="41"/>
      <x:c r="J71" s="38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48" t="str">
        <x:f>IF(I71="보유",COUNTIF($I$5:I71,"보유"),"")</x:f>
      </x:c>
      <x:c r="AA71" s="1"/>
      <x:c r="AB71" s="1"/>
      <x:c r="AC71" s="1"/>
      <x:c r="AD71" s="1"/>
      <x:c r="AE71" s="1"/>
    </x:row>
    <x:row r="72" ht="18" customHeight="1">
      <x:c r="A72" s="41"/>
      <x:c r="B72" s="38"/>
      <x:c r="C72" s="38"/>
      <x:c r="D72" s="41"/>
      <x:c r="E72" s="41"/>
      <x:c r="F72" s="44"/>
      <x:c r="G72" s="41"/>
      <x:c r="H72" s="41"/>
      <x:c r="I72" s="41"/>
      <x:c r="J72" s="38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48" t="str">
        <x:f>IF(I72="보유",COUNTIF($I$5:I72,"보유"),"")</x:f>
      </x:c>
      <x:c r="AA72" s="1"/>
      <x:c r="AB72" s="1"/>
      <x:c r="AC72" s="1"/>
      <x:c r="AD72" s="1"/>
      <x:c r="AE72" s="1"/>
    </x:row>
    <x:row r="73" ht="18" customHeight="1">
      <x:c r="A73" s="41"/>
      <x:c r="B73" s="38"/>
      <x:c r="C73" s="38"/>
      <x:c r="D73" s="41"/>
      <x:c r="E73" s="41"/>
      <x:c r="F73" s="44"/>
      <x:c r="G73" s="41"/>
      <x:c r="H73" s="41"/>
      <x:c r="I73" s="41"/>
      <x:c r="J73" s="38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48" t="str">
        <x:f>IF(I73="보유",COUNTIF($I$5:I73,"보유"),"")</x:f>
      </x:c>
      <x:c r="AA73" s="1"/>
      <x:c r="AB73" s="1"/>
      <x:c r="AC73" s="1"/>
      <x:c r="AD73" s="1"/>
      <x:c r="AE73" s="1"/>
    </x:row>
    <x:row r="74" ht="18" customHeight="1">
      <x:c r="A74" s="41"/>
      <x:c r="B74" s="38"/>
      <x:c r="C74" s="38"/>
      <x:c r="D74" s="41"/>
      <x:c r="E74" s="41"/>
      <x:c r="F74" s="44"/>
      <x:c r="G74" s="41"/>
      <x:c r="H74" s="41"/>
      <x:c r="I74" s="41"/>
      <x:c r="J74" s="38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48" t="str">
        <x:f>IF(I74="보유",COUNTIF($I$5:I74,"보유"),"")</x:f>
      </x:c>
      <x:c r="AA74" s="1"/>
      <x:c r="AB74" s="1"/>
      <x:c r="AC74" s="1"/>
      <x:c r="AD74" s="1"/>
      <x:c r="AE74" s="1"/>
    </x:row>
    <x:row r="75" ht="18" customHeight="1">
      <x:c r="A75" s="41"/>
      <x:c r="B75" s="38"/>
      <x:c r="C75" s="38"/>
      <x:c r="D75" s="41"/>
      <x:c r="E75" s="41"/>
      <x:c r="F75" s="44"/>
      <x:c r="G75" s="41"/>
      <x:c r="H75" s="41"/>
      <x:c r="I75" s="41"/>
      <x:c r="J75" s="38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48" t="str">
        <x:f>IF(I75="보유",COUNTIF($I$5:I75,"보유"),"")</x:f>
      </x:c>
      <x:c r="AA75" s="1"/>
      <x:c r="AB75" s="1"/>
      <x:c r="AC75" s="1"/>
      <x:c r="AD75" s="1"/>
      <x:c r="AE75" s="1"/>
    </x:row>
    <x:row r="76" ht="18" customHeight="1">
      <x:c r="A76" s="41"/>
      <x:c r="B76" s="38"/>
      <x:c r="C76" s="38"/>
      <x:c r="D76" s="41"/>
      <x:c r="E76" s="41"/>
      <x:c r="F76" s="44"/>
      <x:c r="G76" s="41"/>
      <x:c r="H76" s="41"/>
      <x:c r="I76" s="41"/>
      <x:c r="J76" s="38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48" t="str">
        <x:f>IF(I76="보유",COUNTIF($I$5:I76,"보유"),"")</x:f>
      </x:c>
      <x:c r="AA76" s="1"/>
      <x:c r="AB76" s="1"/>
      <x:c r="AC76" s="1"/>
      <x:c r="AD76" s="1"/>
      <x:c r="AE76" s="1"/>
    </x:row>
    <x:row r="77" ht="18" customHeight="1">
      <x:c r="A77" s="41"/>
      <x:c r="B77" s="38"/>
      <x:c r="C77" s="38"/>
      <x:c r="D77" s="41"/>
      <x:c r="E77" s="41"/>
      <x:c r="F77" s="44"/>
      <x:c r="G77" s="41"/>
      <x:c r="H77" s="41"/>
      <x:c r="I77" s="41"/>
      <x:c r="J77" s="38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48" t="str">
        <x:f>IF(I77="보유",COUNTIF($I$5:I77,"보유"),"")</x:f>
      </x:c>
      <x:c r="AA77" s="1"/>
      <x:c r="AB77" s="1"/>
      <x:c r="AC77" s="1"/>
      <x:c r="AD77" s="1"/>
      <x:c r="AE77" s="1"/>
    </x:row>
    <x:row r="78" ht="18" customHeight="1">
      <x:c r="A78" s="41"/>
      <x:c r="B78" s="38"/>
      <x:c r="C78" s="38"/>
      <x:c r="D78" s="41"/>
      <x:c r="E78" s="41"/>
      <x:c r="F78" s="44"/>
      <x:c r="G78" s="41"/>
      <x:c r="H78" s="41"/>
      <x:c r="I78" s="41"/>
      <x:c r="J78" s="38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48" t="str">
        <x:f>IF(I78="보유",COUNTIF($I$5:I78,"보유"),"")</x:f>
      </x:c>
      <x:c r="AA78" s="1"/>
      <x:c r="AB78" s="1"/>
      <x:c r="AC78" s="1"/>
      <x:c r="AD78" s="1"/>
      <x:c r="AE78" s="1"/>
    </x:row>
    <x:row r="79" ht="18" customHeight="1">
      <x:c r="A79" s="41"/>
      <x:c r="B79" s="38"/>
      <x:c r="C79" s="38"/>
      <x:c r="D79" s="41"/>
      <x:c r="E79" s="41"/>
      <x:c r="F79" s="44"/>
      <x:c r="G79" s="41"/>
      <x:c r="H79" s="41"/>
      <x:c r="I79" s="41"/>
      <x:c r="J79" s="38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48" t="str">
        <x:f>IF(I79="보유",COUNTIF($I$5:I79,"보유"),"")</x:f>
      </x:c>
      <x:c r="AA79" s="1"/>
      <x:c r="AB79" s="1"/>
      <x:c r="AC79" s="1"/>
      <x:c r="AD79" s="1"/>
      <x:c r="AE79" s="1"/>
    </x:row>
    <x:row r="80" ht="18" customHeight="1">
      <x:c r="A80" s="41"/>
      <x:c r="B80" s="38"/>
      <x:c r="C80" s="38"/>
      <x:c r="D80" s="41"/>
      <x:c r="E80" s="41"/>
      <x:c r="F80" s="44"/>
      <x:c r="G80" s="41"/>
      <x:c r="H80" s="41"/>
      <x:c r="I80" s="41"/>
      <x:c r="J80" s="38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48" t="str">
        <x:f>IF(I80="보유",COUNTIF($I$5:I80,"보유"),"")</x:f>
      </x:c>
      <x:c r="AA80" s="1"/>
      <x:c r="AB80" s="1"/>
      <x:c r="AC80" s="1"/>
      <x:c r="AD80" s="1"/>
      <x:c r="AE80" s="1"/>
    </x:row>
    <x:row r="81" ht="18" customHeight="1">
      <x:c r="A81" s="41"/>
      <x:c r="B81" s="38"/>
      <x:c r="C81" s="38"/>
      <x:c r="D81" s="41"/>
      <x:c r="E81" s="41"/>
      <x:c r="F81" s="44"/>
      <x:c r="G81" s="41"/>
      <x:c r="H81" s="41"/>
      <x:c r="I81" s="41"/>
      <x:c r="J81" s="38"/>
      <x:c r="K81" s="1"/>
      <x:c r="L81" s="1"/>
      <x:c r="M81" s="1"/>
      <x:c r="N81" s="1"/>
      <x:c r="O81" s="1"/>
      <x:c r="P81" s="1"/>
      <x:c r="Q81" s="1"/>
      <x:c r="R81" s="1"/>
      <x:c r="S81" s="1"/>
      <x:c r="T81" s="1"/>
      <x:c r="U81" s="1"/>
      <x:c r="V81" s="1"/>
      <x:c r="W81" s="1"/>
      <x:c r="X81" s="1"/>
      <x:c r="Y81" s="1"/>
      <x:c r="Z81" s="48" t="str">
        <x:f>IF(I81="보유",COUNTIF($I$5:I81,"보유"),"")</x:f>
      </x:c>
      <x:c r="AA81" s="1"/>
      <x:c r="AB81" s="1"/>
      <x:c r="AC81" s="1"/>
      <x:c r="AD81" s="1"/>
      <x:c r="AE81" s="1"/>
    </x:row>
    <x:row r="82" ht="18" customHeight="1">
      <x:c r="A82" s="41"/>
      <x:c r="B82" s="38"/>
      <x:c r="C82" s="38"/>
      <x:c r="D82" s="41"/>
      <x:c r="E82" s="41"/>
      <x:c r="F82" s="44"/>
      <x:c r="G82" s="41"/>
      <x:c r="H82" s="41"/>
      <x:c r="I82" s="41"/>
      <x:c r="J82" s="38"/>
      <x:c r="K82" s="1"/>
      <x:c r="L82" s="1"/>
      <x:c r="M82" s="1"/>
      <x:c r="N82" s="1"/>
      <x:c r="O82" s="1"/>
      <x:c r="P82" s="1"/>
      <x:c r="Q82" s="1"/>
      <x:c r="R82" s="1"/>
      <x:c r="S82" s="1"/>
      <x:c r="T82" s="1"/>
      <x:c r="U82" s="1"/>
      <x:c r="V82" s="1"/>
      <x:c r="W82" s="1"/>
      <x:c r="X82" s="1"/>
      <x:c r="Y82" s="1"/>
      <x:c r="Z82" s="48" t="str">
        <x:f>IF(I82="보유",COUNTIF($I$5:I82,"보유"),"")</x:f>
      </x:c>
      <x:c r="AA82" s="1"/>
      <x:c r="AB82" s="1"/>
      <x:c r="AC82" s="1"/>
      <x:c r="AD82" s="1"/>
      <x:c r="AE82" s="1"/>
    </x:row>
    <x:row r="83" ht="18" customHeight="1">
      <x:c r="A83" s="41"/>
      <x:c r="B83" s="38"/>
      <x:c r="C83" s="38"/>
      <x:c r="D83" s="41"/>
      <x:c r="E83" s="41"/>
      <x:c r="F83" s="44"/>
      <x:c r="G83" s="41"/>
      <x:c r="H83" s="41"/>
      <x:c r="I83" s="41"/>
      <x:c r="J83" s="38"/>
      <x:c r="K83" s="1"/>
      <x:c r="L83" s="1"/>
      <x:c r="M83" s="1"/>
      <x:c r="N83" s="1"/>
      <x:c r="O83" s="1"/>
      <x:c r="P83" s="1"/>
      <x:c r="Q83" s="1"/>
      <x:c r="R83" s="1"/>
      <x:c r="S83" s="1"/>
      <x:c r="T83" s="1"/>
      <x:c r="U83" s="1"/>
      <x:c r="V83" s="1"/>
      <x:c r="W83" s="1"/>
      <x:c r="X83" s="1"/>
      <x:c r="Y83" s="1"/>
      <x:c r="Z83" s="48" t="str">
        <x:f>IF(I83="보유",COUNTIF($I$5:I83,"보유"),"")</x:f>
      </x:c>
      <x:c r="AA83" s="1"/>
      <x:c r="AB83" s="1"/>
      <x:c r="AC83" s="1"/>
      <x:c r="AD83" s="1"/>
      <x:c r="AE83" s="1"/>
    </x:row>
    <x:row r="84" ht="18" customHeight="1">
      <x:c r="A84" s="41"/>
      <x:c r="B84" s="38"/>
      <x:c r="C84" s="38"/>
      <x:c r="D84" s="41"/>
      <x:c r="E84" s="41"/>
      <x:c r="F84" s="44"/>
      <x:c r="G84" s="41"/>
      <x:c r="H84" s="41"/>
      <x:c r="I84" s="41"/>
      <x:c r="J84" s="38"/>
      <x:c r="K84" s="1"/>
      <x:c r="L84" s="1"/>
      <x:c r="M84" s="1"/>
      <x:c r="N84" s="1"/>
      <x:c r="O84" s="1"/>
      <x:c r="P84" s="1"/>
      <x:c r="Q84" s="1"/>
      <x:c r="R84" s="1"/>
      <x:c r="S84" s="1"/>
      <x:c r="T84" s="1"/>
      <x:c r="U84" s="1"/>
      <x:c r="V84" s="1"/>
      <x:c r="W84" s="1"/>
      <x:c r="X84" s="1"/>
      <x:c r="Y84" s="1"/>
      <x:c r="Z84" s="48" t="str">
        <x:f>IF(I84="보유",COUNTIF($I$5:I84,"보유"),"")</x:f>
      </x:c>
      <x:c r="AA84" s="1"/>
      <x:c r="AB84" s="1"/>
      <x:c r="AC84" s="1"/>
      <x:c r="AD84" s="1"/>
      <x:c r="AE84" s="1"/>
    </x:row>
    <x:row r="85" ht="18" customHeight="1">
      <x:c r="A85" s="41"/>
      <x:c r="B85" s="38"/>
      <x:c r="C85" s="38"/>
      <x:c r="D85" s="41"/>
      <x:c r="E85" s="41"/>
      <x:c r="F85" s="44"/>
      <x:c r="G85" s="41"/>
      <x:c r="H85" s="41"/>
      <x:c r="I85" s="41"/>
      <x:c r="J85" s="38"/>
      <x:c r="K85" s="1"/>
      <x:c r="L85" s="1"/>
      <x:c r="M85" s="1"/>
      <x:c r="N85" s="1"/>
      <x:c r="O85" s="1"/>
      <x:c r="P85" s="1"/>
      <x:c r="Q85" s="1"/>
      <x:c r="R85" s="1"/>
      <x:c r="S85" s="1"/>
      <x:c r="T85" s="1"/>
      <x:c r="U85" s="1"/>
      <x:c r="V85" s="1"/>
      <x:c r="W85" s="1"/>
      <x:c r="X85" s="1"/>
      <x:c r="Y85" s="1"/>
      <x:c r="Z85" s="48" t="str">
        <x:f>IF(I85="보유",COUNTIF($I$5:I85,"보유"),"")</x:f>
      </x:c>
      <x:c r="AA85" s="1"/>
      <x:c r="AB85" s="1"/>
      <x:c r="AC85" s="1"/>
      <x:c r="AD85" s="1"/>
      <x:c r="AE85" s="1"/>
    </x:row>
    <x:row r="86" ht="18" customHeight="1">
      <x:c r="A86" s="41"/>
      <x:c r="B86" s="38"/>
      <x:c r="C86" s="38"/>
      <x:c r="D86" s="41"/>
      <x:c r="E86" s="41"/>
      <x:c r="F86" s="44"/>
      <x:c r="G86" s="41"/>
      <x:c r="H86" s="41"/>
      <x:c r="I86" s="41"/>
      <x:c r="J86" s="38"/>
      <x:c r="K86" s="1"/>
      <x:c r="L86" s="1"/>
      <x:c r="M86" s="1"/>
      <x:c r="N86" s="1"/>
      <x:c r="O86" s="1"/>
      <x:c r="P86" s="1"/>
      <x:c r="Q86" s="1"/>
      <x:c r="R86" s="1"/>
      <x:c r="S86" s="1"/>
      <x:c r="T86" s="1"/>
      <x:c r="U86" s="1"/>
      <x:c r="V86" s="1"/>
      <x:c r="W86" s="1"/>
      <x:c r="X86" s="1"/>
      <x:c r="Y86" s="1"/>
      <x:c r="Z86" s="48" t="str">
        <x:f>IF(I86="보유",COUNTIF($I$5:I86,"보유"),"")</x:f>
      </x:c>
      <x:c r="AA86" s="1"/>
      <x:c r="AB86" s="1"/>
      <x:c r="AC86" s="1"/>
      <x:c r="AD86" s="1"/>
      <x:c r="AE86" s="1"/>
    </x:row>
    <x:row r="87" ht="18" customHeight="1">
      <x:c r="A87" s="41"/>
      <x:c r="B87" s="38"/>
      <x:c r="C87" s="38"/>
      <x:c r="D87" s="41"/>
      <x:c r="E87" s="41"/>
      <x:c r="F87" s="44"/>
      <x:c r="G87" s="41"/>
      <x:c r="H87" s="41"/>
      <x:c r="I87" s="41"/>
      <x:c r="J87" s="38"/>
      <x:c r="K87" s="1"/>
      <x:c r="L87" s="1"/>
      <x:c r="M87" s="1"/>
      <x:c r="N87" s="1"/>
      <x:c r="O87" s="1"/>
      <x:c r="P87" s="1"/>
      <x:c r="Q87" s="1"/>
      <x:c r="R87" s="1"/>
      <x:c r="S87" s="1"/>
      <x:c r="T87" s="1"/>
      <x:c r="U87" s="1"/>
      <x:c r="V87" s="1"/>
      <x:c r="W87" s="1"/>
      <x:c r="X87" s="1"/>
      <x:c r="Y87" s="1"/>
      <x:c r="Z87" s="48" t="str">
        <x:f>IF(I87="보유",COUNTIF($I$5:I87,"보유"),"")</x:f>
      </x:c>
      <x:c r="AA87" s="1"/>
      <x:c r="AB87" s="1"/>
      <x:c r="AC87" s="1"/>
      <x:c r="AD87" s="1"/>
      <x:c r="AE87" s="1"/>
    </x:row>
    <x:row r="88" ht="18" customHeight="1">
      <x:c r="A88" s="41"/>
      <x:c r="B88" s="38"/>
      <x:c r="C88" s="38"/>
      <x:c r="D88" s="41"/>
      <x:c r="E88" s="41"/>
      <x:c r="F88" s="44"/>
      <x:c r="G88" s="41"/>
      <x:c r="H88" s="41"/>
      <x:c r="I88" s="41"/>
      <x:c r="J88" s="38"/>
      <x:c r="K88" s="1"/>
      <x:c r="L88" s="1"/>
      <x:c r="M88" s="1"/>
      <x:c r="N88" s="1"/>
      <x:c r="O88" s="1"/>
      <x:c r="P88" s="1"/>
      <x:c r="Q88" s="1"/>
      <x:c r="R88" s="1"/>
      <x:c r="S88" s="1"/>
      <x:c r="T88" s="1"/>
      <x:c r="U88" s="1"/>
      <x:c r="V88" s="1"/>
      <x:c r="W88" s="1"/>
      <x:c r="X88" s="1"/>
      <x:c r="Y88" s="1"/>
      <x:c r="Z88" s="48" t="str">
        <x:f>IF(I88="보유",COUNTIF($I$5:I88,"보유"),"")</x:f>
      </x:c>
      <x:c r="AA88" s="1"/>
      <x:c r="AB88" s="1"/>
      <x:c r="AC88" s="1"/>
      <x:c r="AD88" s="1"/>
      <x:c r="AE88" s="1"/>
    </x:row>
    <x:row r="89" ht="18" customHeight="1">
      <x:c r="A89" s="41"/>
      <x:c r="B89" s="38"/>
      <x:c r="C89" s="38"/>
      <x:c r="D89" s="41"/>
      <x:c r="E89" s="41"/>
      <x:c r="F89" s="44"/>
      <x:c r="G89" s="41"/>
      <x:c r="H89" s="41"/>
      <x:c r="I89" s="41"/>
      <x:c r="J89" s="38"/>
      <x:c r="K89" s="1"/>
      <x:c r="L89" s="1"/>
      <x:c r="M89" s="1"/>
      <x:c r="N89" s="1"/>
      <x:c r="O89" s="1"/>
      <x:c r="P89" s="1"/>
      <x:c r="Q89" s="1"/>
      <x:c r="R89" s="1"/>
      <x:c r="S89" s="1"/>
      <x:c r="T89" s="1"/>
      <x:c r="U89" s="1"/>
      <x:c r="V89" s="1"/>
      <x:c r="W89" s="1"/>
      <x:c r="X89" s="1"/>
      <x:c r="Y89" s="1"/>
      <x:c r="Z89" s="48" t="str">
        <x:f>IF(I89="보유",COUNTIF($I$5:I89,"보유"),"")</x:f>
      </x:c>
      <x:c r="AA89" s="1"/>
      <x:c r="AB89" s="1"/>
      <x:c r="AC89" s="1"/>
      <x:c r="AD89" s="1"/>
      <x:c r="AE89" s="1"/>
    </x:row>
    <x:row r="90" ht="18" customHeight="1">
      <x:c r="A90" s="41"/>
      <x:c r="B90" s="38"/>
      <x:c r="C90" s="38"/>
      <x:c r="D90" s="41"/>
      <x:c r="E90" s="41"/>
      <x:c r="F90" s="44"/>
      <x:c r="G90" s="41"/>
      <x:c r="H90" s="41"/>
      <x:c r="I90" s="41"/>
      <x:c r="J90" s="38"/>
      <x:c r="K90" s="1"/>
      <x:c r="L90" s="1"/>
      <x:c r="M90" s="1"/>
      <x:c r="N90" s="1"/>
      <x:c r="O90" s="1"/>
      <x:c r="P90" s="1"/>
      <x:c r="Q90" s="1"/>
      <x:c r="R90" s="1"/>
      <x:c r="S90" s="1"/>
      <x:c r="T90" s="1"/>
      <x:c r="U90" s="1"/>
      <x:c r="V90" s="1"/>
      <x:c r="W90" s="1"/>
      <x:c r="X90" s="1"/>
      <x:c r="Y90" s="1"/>
      <x:c r="Z90" s="48" t="str">
        <x:f>IF(I90="보유",COUNTIF($I$5:I90,"보유"),"")</x:f>
      </x:c>
      <x:c r="AA90" s="1"/>
      <x:c r="AB90" s="1"/>
      <x:c r="AC90" s="1"/>
      <x:c r="AD90" s="1"/>
      <x:c r="AE90" s="1"/>
    </x:row>
    <x:row r="91" ht="18" customHeight="1">
      <x:c r="A91" s="41"/>
      <x:c r="B91" s="38"/>
      <x:c r="C91" s="38"/>
      <x:c r="D91" s="41"/>
      <x:c r="E91" s="41"/>
      <x:c r="F91" s="44"/>
      <x:c r="G91" s="41"/>
      <x:c r="H91" s="41"/>
      <x:c r="I91" s="41"/>
      <x:c r="J91" s="38"/>
      <x:c r="K91" s="1"/>
      <x:c r="L91" s="1"/>
      <x:c r="M91" s="1"/>
      <x:c r="N91" s="1"/>
      <x:c r="O91" s="1"/>
      <x:c r="P91" s="1"/>
      <x:c r="Q91" s="1"/>
      <x:c r="R91" s="1"/>
      <x:c r="S91" s="1"/>
      <x:c r="T91" s="1"/>
      <x:c r="U91" s="1"/>
      <x:c r="V91" s="1"/>
      <x:c r="W91" s="1"/>
      <x:c r="X91" s="1"/>
      <x:c r="Y91" s="1"/>
      <x:c r="Z91" s="48" t="str">
        <x:f>IF(I91="보유",COUNTIF($I$5:I91,"보유"),"")</x:f>
      </x:c>
      <x:c r="AA91" s="1"/>
      <x:c r="AB91" s="1"/>
      <x:c r="AC91" s="1"/>
      <x:c r="AD91" s="1"/>
      <x:c r="AE91" s="1"/>
    </x:row>
    <x:row r="92" ht="18" customHeight="1">
      <x:c r="A92" s="41"/>
      <x:c r="B92" s="38"/>
      <x:c r="C92" s="38"/>
      <x:c r="D92" s="41"/>
      <x:c r="E92" s="41"/>
      <x:c r="F92" s="44"/>
      <x:c r="G92" s="41"/>
      <x:c r="H92" s="41"/>
      <x:c r="I92" s="41"/>
      <x:c r="J92" s="38"/>
      <x:c r="K92" s="1"/>
      <x:c r="L92" s="1"/>
      <x:c r="M92" s="1"/>
      <x:c r="N92" s="1"/>
      <x:c r="O92" s="1"/>
      <x:c r="P92" s="1"/>
      <x:c r="Q92" s="1"/>
      <x:c r="R92" s="1"/>
      <x:c r="S92" s="1"/>
      <x:c r="T92" s="1"/>
      <x:c r="U92" s="1"/>
      <x:c r="V92" s="1"/>
      <x:c r="W92" s="1"/>
      <x:c r="X92" s="1"/>
      <x:c r="Y92" s="1"/>
      <x:c r="Z92" s="48" t="str">
        <x:f>IF(I92="보유",COUNTIF($I$5:I92,"보유"),"")</x:f>
      </x:c>
      <x:c r="AA92" s="1"/>
      <x:c r="AB92" s="1"/>
      <x:c r="AC92" s="1"/>
      <x:c r="AD92" s="1"/>
      <x:c r="AE92" s="1"/>
    </x:row>
    <x:row r="93" ht="18" customHeight="1">
      <x:c r="A93" s="41"/>
      <x:c r="B93" s="38"/>
      <x:c r="C93" s="38"/>
      <x:c r="D93" s="41"/>
      <x:c r="E93" s="41"/>
      <x:c r="F93" s="44"/>
      <x:c r="G93" s="41"/>
      <x:c r="H93" s="41"/>
      <x:c r="I93" s="41"/>
      <x:c r="J93" s="38"/>
      <x:c r="K93" s="1"/>
      <x:c r="L93" s="1"/>
      <x:c r="M93" s="1"/>
      <x:c r="N93" s="1"/>
      <x:c r="O93" s="1"/>
      <x:c r="P93" s="1"/>
      <x:c r="Q93" s="1"/>
      <x:c r="R93" s="1"/>
      <x:c r="S93" s="1"/>
      <x:c r="T93" s="1"/>
      <x:c r="U93" s="1"/>
      <x:c r="V93" s="1"/>
      <x:c r="W93" s="1"/>
      <x:c r="X93" s="1"/>
      <x:c r="Y93" s="1"/>
      <x:c r="Z93" s="48" t="str">
        <x:f>IF(I93="보유",COUNTIF($I$5:I93,"보유"),"")</x:f>
      </x:c>
      <x:c r="AA93" s="1"/>
      <x:c r="AB93" s="1"/>
      <x:c r="AC93" s="1"/>
      <x:c r="AD93" s="1"/>
      <x:c r="AE93" s="1"/>
    </x:row>
    <x:row r="94" ht="18" customHeight="1">
      <x:c r="A94" s="41"/>
      <x:c r="B94" s="38"/>
      <x:c r="C94" s="38"/>
      <x:c r="D94" s="41"/>
      <x:c r="E94" s="41"/>
      <x:c r="F94" s="44"/>
      <x:c r="G94" s="41"/>
      <x:c r="H94" s="41"/>
      <x:c r="I94" s="41"/>
      <x:c r="J94" s="38"/>
      <x:c r="K94" s="1"/>
      <x:c r="L94" s="1"/>
      <x:c r="M94" s="1"/>
      <x:c r="N94" s="1"/>
      <x:c r="O94" s="1"/>
      <x:c r="P94" s="1"/>
      <x:c r="Q94" s="1"/>
      <x:c r="R94" s="1"/>
      <x:c r="S94" s="1"/>
      <x:c r="T94" s="1"/>
      <x:c r="U94" s="1"/>
      <x:c r="V94" s="1"/>
      <x:c r="W94" s="1"/>
      <x:c r="X94" s="1"/>
      <x:c r="Y94" s="1"/>
      <x:c r="Z94" s="48" t="str">
        <x:f>IF(I94="보유",COUNTIF($I$5:I94,"보유"),"")</x:f>
      </x:c>
      <x:c r="AA94" s="1"/>
      <x:c r="AB94" s="1"/>
      <x:c r="AC94" s="1"/>
      <x:c r="AD94" s="1"/>
      <x:c r="AE94" s="1"/>
    </x:row>
    <x:row r="95" ht="18" customHeight="1">
      <x:c r="A95" s="41"/>
      <x:c r="B95" s="38"/>
      <x:c r="C95" s="38"/>
      <x:c r="D95" s="41"/>
      <x:c r="E95" s="41"/>
      <x:c r="F95" s="44"/>
      <x:c r="G95" s="41"/>
      <x:c r="H95" s="41"/>
      <x:c r="I95" s="41"/>
      <x:c r="J95" s="38"/>
      <x:c r="K95" s="1"/>
      <x:c r="L95" s="1"/>
      <x:c r="M95" s="1"/>
      <x:c r="N95" s="1"/>
      <x:c r="O95" s="1"/>
      <x:c r="P95" s="1"/>
      <x:c r="Q95" s="1"/>
      <x:c r="R95" s="1"/>
      <x:c r="S95" s="1"/>
      <x:c r="T95" s="1"/>
      <x:c r="U95" s="1"/>
      <x:c r="V95" s="1"/>
      <x:c r="W95" s="1"/>
      <x:c r="X95" s="1"/>
      <x:c r="Y95" s="1"/>
      <x:c r="Z95" s="48" t="str">
        <x:f>IF(I95="보유",COUNTIF($I$5:I95,"보유"),"")</x:f>
      </x:c>
      <x:c r="AA95" s="1"/>
      <x:c r="AB95" s="1"/>
      <x:c r="AC95" s="1"/>
      <x:c r="AD95" s="1"/>
      <x:c r="AE95" s="1"/>
    </x:row>
    <x:row r="96" ht="18" customHeight="1">
      <x:c r="A96" s="41"/>
      <x:c r="B96" s="38"/>
      <x:c r="C96" s="38"/>
      <x:c r="D96" s="41"/>
      <x:c r="E96" s="41"/>
      <x:c r="F96" s="44"/>
      <x:c r="G96" s="41"/>
      <x:c r="H96" s="41"/>
      <x:c r="I96" s="41"/>
      <x:c r="J96" s="38"/>
      <x:c r="K96" s="1"/>
      <x:c r="L96" s="1"/>
      <x:c r="M96" s="1"/>
      <x:c r="N96" s="1"/>
      <x:c r="O96" s="1"/>
      <x:c r="P96" s="1"/>
      <x:c r="Q96" s="1"/>
      <x:c r="R96" s="1"/>
      <x:c r="S96" s="1"/>
      <x:c r="T96" s="1"/>
      <x:c r="U96" s="1"/>
      <x:c r="V96" s="1"/>
      <x:c r="W96" s="1"/>
      <x:c r="X96" s="1"/>
      <x:c r="Y96" s="1"/>
      <x:c r="Z96" s="48" t="str">
        <x:f>IF(I96="보유",COUNTIF($I$5:I96,"보유"),"")</x:f>
      </x:c>
      <x:c r="AA96" s="1"/>
      <x:c r="AB96" s="1"/>
      <x:c r="AC96" s="1"/>
      <x:c r="AD96" s="1"/>
      <x:c r="AE96" s="1"/>
    </x:row>
    <x:row r="97" ht="18" customHeight="1">
      <x:c r="A97" s="41"/>
      <x:c r="B97" s="38"/>
      <x:c r="C97" s="38"/>
      <x:c r="D97" s="41"/>
      <x:c r="E97" s="41"/>
      <x:c r="F97" s="44"/>
      <x:c r="G97" s="41"/>
      <x:c r="H97" s="41"/>
      <x:c r="I97" s="41"/>
      <x:c r="J97" s="38"/>
      <x:c r="K97" s="1"/>
      <x:c r="L97" s="1"/>
      <x:c r="M97" s="1"/>
      <x:c r="N97" s="1"/>
      <x:c r="O97" s="1"/>
      <x:c r="P97" s="1"/>
      <x:c r="Q97" s="1"/>
      <x:c r="R97" s="1"/>
      <x:c r="S97" s="1"/>
      <x:c r="T97" s="1"/>
      <x:c r="U97" s="1"/>
      <x:c r="V97" s="1"/>
      <x:c r="W97" s="1"/>
      <x:c r="X97" s="1"/>
      <x:c r="Y97" s="1"/>
      <x:c r="Z97" s="48" t="str">
        <x:f>IF(I97="보유",COUNTIF($I$5:I97,"보유"),"")</x:f>
      </x:c>
      <x:c r="AA97" s="1"/>
      <x:c r="AB97" s="1"/>
      <x:c r="AC97" s="1"/>
      <x:c r="AD97" s="1"/>
      <x:c r="AE97" s="1"/>
    </x:row>
    <x:row r="98" ht="18" customHeight="1">
      <x:c r="A98" s="41"/>
      <x:c r="B98" s="38"/>
      <x:c r="C98" s="38"/>
      <x:c r="D98" s="41"/>
      <x:c r="E98" s="41"/>
      <x:c r="F98" s="44"/>
      <x:c r="G98" s="41"/>
      <x:c r="H98" s="41"/>
      <x:c r="I98" s="41"/>
      <x:c r="J98" s="38"/>
      <x:c r="K98" s="1"/>
      <x:c r="L98" s="1"/>
      <x:c r="M98" s="1"/>
      <x:c r="N98" s="1"/>
      <x:c r="O98" s="1"/>
      <x:c r="P98" s="1"/>
      <x:c r="Q98" s="1"/>
      <x:c r="R98" s="1"/>
      <x:c r="S98" s="1"/>
      <x:c r="T98" s="1"/>
      <x:c r="U98" s="1"/>
      <x:c r="V98" s="1"/>
      <x:c r="W98" s="1"/>
      <x:c r="X98" s="1"/>
      <x:c r="Y98" s="1"/>
      <x:c r="Z98" s="48" t="str">
        <x:f>IF(I98="보유",COUNTIF($I$5:I98,"보유"),"")</x:f>
      </x:c>
      <x:c r="AA98" s="1"/>
      <x:c r="AB98" s="1"/>
      <x:c r="AC98" s="1"/>
      <x:c r="AD98" s="1"/>
      <x:c r="AE98" s="1"/>
    </x:row>
    <x:row r="99" ht="18" customHeight="1">
      <x:c r="A99" s="41"/>
      <x:c r="B99" s="38"/>
      <x:c r="C99" s="38"/>
      <x:c r="D99" s="41"/>
      <x:c r="E99" s="41"/>
      <x:c r="F99" s="44"/>
      <x:c r="G99" s="41"/>
      <x:c r="H99" s="41"/>
      <x:c r="I99" s="41"/>
      <x:c r="J99" s="38"/>
      <x:c r="K99" s="1"/>
      <x:c r="L99" s="1"/>
      <x:c r="M99" s="1"/>
      <x:c r="N99" s="1"/>
      <x:c r="O99" s="1"/>
      <x:c r="P99" s="1"/>
      <x:c r="Q99" s="1"/>
      <x:c r="R99" s="1"/>
      <x:c r="S99" s="1"/>
      <x:c r="T99" s="1"/>
      <x:c r="U99" s="1"/>
      <x:c r="V99" s="1"/>
      <x:c r="W99" s="1"/>
      <x:c r="X99" s="1"/>
      <x:c r="Y99" s="1"/>
      <x:c r="Z99" s="48" t="str">
        <x:f>IF(I99="보유",COUNTIF($I$5:I99,"보유"),"")</x:f>
      </x:c>
      <x:c r="AA99" s="1"/>
      <x:c r="AB99" s="1"/>
      <x:c r="AC99" s="1"/>
      <x:c r="AD99" s="1"/>
      <x:c r="AE99" s="1"/>
    </x:row>
    <x:row r="100" ht="18" customHeight="1">
      <x:c r="A100" s="41"/>
      <x:c r="B100" s="38"/>
      <x:c r="C100" s="38"/>
      <x:c r="D100" s="41"/>
      <x:c r="E100" s="41"/>
      <x:c r="F100" s="44"/>
      <x:c r="G100" s="41"/>
      <x:c r="H100" s="41"/>
      <x:c r="I100" s="41"/>
      <x:c r="J100" s="38"/>
      <x:c r="K100" s="1"/>
      <x:c r="L100" s="1"/>
      <x:c r="M100" s="1"/>
      <x:c r="N100" s="1"/>
      <x:c r="O100" s="1"/>
      <x:c r="P100" s="1"/>
      <x:c r="Q100" s="1"/>
      <x:c r="R100" s="1"/>
      <x:c r="S100" s="1"/>
      <x:c r="T100" s="1"/>
      <x:c r="U100" s="1"/>
      <x:c r="V100" s="1"/>
      <x:c r="W100" s="1"/>
      <x:c r="X100" s="1"/>
      <x:c r="Y100" s="1"/>
      <x:c r="Z100" s="48" t="str">
        <x:f>IF(I100="보유",COUNTIF($I$5:I100,"보유"),"")</x:f>
      </x:c>
      <x:c r="AA100" s="1"/>
      <x:c r="AB100" s="1"/>
      <x:c r="AC100" s="1"/>
      <x:c r="AD100" s="1"/>
      <x:c r="AE100" s="1"/>
    </x:row>
    <x:row r="101" ht="18" customHeight="1">
      <x:c r="A101" s="41"/>
      <x:c r="B101" s="38"/>
      <x:c r="C101" s="38"/>
      <x:c r="D101" s="41"/>
      <x:c r="E101" s="41"/>
      <x:c r="F101" s="44"/>
      <x:c r="G101" s="41"/>
      <x:c r="H101" s="41"/>
      <x:c r="I101" s="41"/>
      <x:c r="J101" s="38"/>
      <x:c r="K101" s="1"/>
      <x:c r="L101" s="1"/>
      <x:c r="M101" s="1"/>
      <x:c r="N101" s="1"/>
      <x:c r="O101" s="1"/>
      <x:c r="P101" s="1"/>
      <x:c r="Q101" s="1"/>
      <x:c r="R101" s="1"/>
      <x:c r="S101" s="1"/>
      <x:c r="T101" s="1"/>
      <x:c r="U101" s="1"/>
      <x:c r="V101" s="1"/>
      <x:c r="W101" s="1"/>
      <x:c r="X101" s="1"/>
      <x:c r="Y101" s="1"/>
      <x:c r="Z101" s="48" t="str">
        <x:f>IF(I101="보유",COUNTIF($I$5:I101,"보유"),"")</x:f>
      </x:c>
      <x:c r="AA101" s="1"/>
      <x:c r="AB101" s="1"/>
      <x:c r="AC101" s="1"/>
      <x:c r="AD101" s="1"/>
      <x:c r="AE101" s="1"/>
    </x:row>
    <x:row r="102" ht="18" customHeight="1">
      <x:c r="A102" s="41"/>
      <x:c r="B102" s="38"/>
      <x:c r="C102" s="38"/>
      <x:c r="D102" s="41"/>
      <x:c r="E102" s="41"/>
      <x:c r="F102" s="44"/>
      <x:c r="G102" s="41"/>
      <x:c r="H102" s="41"/>
      <x:c r="I102" s="41"/>
      <x:c r="J102" s="38"/>
      <x:c r="K102" s="1"/>
      <x:c r="L102" s="1"/>
      <x:c r="M102" s="1"/>
      <x:c r="N102" s="1"/>
      <x:c r="O102" s="1"/>
      <x:c r="P102" s="1"/>
      <x:c r="Q102" s="1"/>
      <x:c r="R102" s="1"/>
      <x:c r="S102" s="1"/>
      <x:c r="T102" s="1"/>
      <x:c r="U102" s="1"/>
      <x:c r="V102" s="1"/>
      <x:c r="W102" s="1"/>
      <x:c r="X102" s="1"/>
      <x:c r="Y102" s="1"/>
      <x:c r="Z102" s="48" t="str">
        <x:f>IF(I102="보유",COUNTIF($I$5:I102,"보유"),"")</x:f>
      </x:c>
      <x:c r="AA102" s="1"/>
      <x:c r="AB102" s="1"/>
      <x:c r="AC102" s="1"/>
      <x:c r="AD102" s="1"/>
      <x:c r="AE102" s="1"/>
    </x:row>
    <x:row r="103" ht="18" customHeight="1">
      <x:c r="A103" s="41"/>
      <x:c r="B103" s="38"/>
      <x:c r="C103" s="38"/>
      <x:c r="D103" s="41"/>
      <x:c r="E103" s="41"/>
      <x:c r="F103" s="44"/>
      <x:c r="G103" s="41"/>
      <x:c r="H103" s="41"/>
      <x:c r="I103" s="41"/>
      <x:c r="J103" s="38"/>
      <x:c r="K103" s="1"/>
      <x:c r="L103" s="1"/>
      <x:c r="M103" s="1"/>
      <x:c r="N103" s="1"/>
      <x:c r="O103" s="1"/>
      <x:c r="P103" s="1"/>
      <x:c r="Q103" s="1"/>
      <x:c r="R103" s="1"/>
      <x:c r="S103" s="1"/>
      <x:c r="T103" s="1"/>
      <x:c r="U103" s="1"/>
      <x:c r="V103" s="1"/>
      <x:c r="W103" s="1"/>
      <x:c r="X103" s="1"/>
      <x:c r="Y103" s="1"/>
      <x:c r="Z103" s="48" t="str">
        <x:f>IF(I103="보유",COUNTIF($I$5:I103,"보유"),"")</x:f>
      </x:c>
      <x:c r="AA103" s="1"/>
      <x:c r="AB103" s="1"/>
      <x:c r="AC103" s="1"/>
      <x:c r="AD103" s="1"/>
      <x:c r="AE103" s="1"/>
    </x:row>
    <x:row r="104" ht="18" customHeight="1">
      <x:c r="A104" s="41"/>
      <x:c r="B104" s="38"/>
      <x:c r="C104" s="38"/>
      <x:c r="D104" s="41"/>
      <x:c r="E104" s="41"/>
      <x:c r="F104" s="44"/>
      <x:c r="G104" s="41"/>
      <x:c r="H104" s="41"/>
      <x:c r="I104" s="41"/>
      <x:c r="J104" s="38"/>
      <x:c r="K104" s="1"/>
      <x:c r="L104" s="1"/>
      <x:c r="M104" s="1"/>
      <x:c r="N104" s="1"/>
      <x:c r="O104" s="1"/>
      <x:c r="P104" s="1"/>
      <x:c r="Q104" s="1"/>
      <x:c r="R104" s="1"/>
      <x:c r="S104" s="1"/>
      <x:c r="T104" s="1"/>
      <x:c r="U104" s="1"/>
      <x:c r="V104" s="1"/>
      <x:c r="W104" s="1"/>
      <x:c r="X104" s="1"/>
      <x:c r="Y104" s="1"/>
      <x:c r="Z104" s="48" t="str">
        <x:f>IF(I104="보유",COUNTIF($I$5:I104,"보유"),"")</x:f>
      </x:c>
      <x:c r="AA104" s="1"/>
      <x:c r="AB104" s="1"/>
      <x:c r="AC104" s="1"/>
      <x:c r="AD104" s="1"/>
      <x:c r="AE104" s="1"/>
    </x:row>
    <x:row r="105" ht="18" customHeight="1">
      <x:c r="A105" s="41"/>
      <x:c r="B105" s="38"/>
      <x:c r="C105" s="38"/>
      <x:c r="D105" s="41"/>
      <x:c r="E105" s="41"/>
      <x:c r="F105" s="44"/>
      <x:c r="G105" s="41"/>
      <x:c r="H105" s="41"/>
      <x:c r="I105" s="41"/>
      <x:c r="J105" s="38"/>
      <x:c r="K105" s="1"/>
      <x:c r="L105" s="1"/>
      <x:c r="M105" s="1"/>
      <x:c r="N105" s="1"/>
      <x:c r="O105" s="1"/>
      <x:c r="P105" s="1"/>
      <x:c r="Q105" s="1"/>
      <x:c r="R105" s="1"/>
      <x:c r="S105" s="1"/>
      <x:c r="T105" s="1"/>
      <x:c r="U105" s="1"/>
      <x:c r="V105" s="1"/>
      <x:c r="W105" s="1"/>
      <x:c r="X105" s="1"/>
      <x:c r="Y105" s="1"/>
      <x:c r="Z105" s="48" t="str">
        <x:f>IF(I105="보유",COUNTIF($I$5:I105,"보유"),"")</x:f>
      </x:c>
      <x:c r="AA105" s="1"/>
      <x:c r="AB105" s="1"/>
      <x:c r="AC105" s="1"/>
      <x:c r="AD105" s="1"/>
      <x:c r="AE105" s="1"/>
    </x:row>
    <x:row r="106" ht="18" customHeight="1">
      <x:c r="A106" s="41"/>
      <x:c r="B106" s="38"/>
      <x:c r="C106" s="38"/>
      <x:c r="D106" s="41"/>
      <x:c r="E106" s="41"/>
      <x:c r="F106" s="44"/>
      <x:c r="G106" s="41"/>
      <x:c r="H106" s="41"/>
      <x:c r="I106" s="41"/>
      <x:c r="J106" s="38"/>
      <x:c r="K106" s="1"/>
      <x:c r="L106" s="1"/>
      <x:c r="M106" s="1"/>
      <x:c r="N106" s="1"/>
      <x:c r="O106" s="1"/>
      <x:c r="P106" s="1"/>
      <x:c r="Q106" s="1"/>
      <x:c r="R106" s="1"/>
      <x:c r="S106" s="1"/>
      <x:c r="T106" s="1"/>
      <x:c r="U106" s="1"/>
      <x:c r="V106" s="1"/>
      <x:c r="W106" s="1"/>
      <x:c r="X106" s="1"/>
      <x:c r="Y106" s="1"/>
      <x:c r="Z106" s="48" t="str">
        <x:f>IF(I106="보유",COUNTIF($I$5:I106,"보유"),"")</x:f>
      </x:c>
      <x:c r="AA106" s="1"/>
      <x:c r="AB106" s="1"/>
      <x:c r="AC106" s="1"/>
      <x:c r="AD106" s="1"/>
      <x:c r="AE106" s="1"/>
    </x:row>
    <x:row r="107" ht="18" customHeight="1">
      <x:c r="A107" s="41"/>
      <x:c r="B107" s="38"/>
      <x:c r="C107" s="38"/>
      <x:c r="D107" s="41"/>
      <x:c r="E107" s="41"/>
      <x:c r="F107" s="44"/>
      <x:c r="G107" s="41"/>
      <x:c r="H107" s="41"/>
      <x:c r="I107" s="41"/>
      <x:c r="J107" s="38"/>
      <x:c r="K107" s="1"/>
      <x:c r="L107" s="1"/>
      <x:c r="M107" s="1"/>
      <x:c r="N107" s="1"/>
      <x:c r="O107" s="1"/>
      <x:c r="P107" s="1"/>
      <x:c r="Q107" s="1"/>
      <x:c r="R107" s="1"/>
      <x:c r="S107" s="1"/>
      <x:c r="T107" s="1"/>
      <x:c r="U107" s="1"/>
      <x:c r="V107" s="1"/>
      <x:c r="W107" s="1"/>
      <x:c r="X107" s="1"/>
      <x:c r="Y107" s="1"/>
      <x:c r="Z107" s="48" t="str">
        <x:f>IF(I107="보유",COUNTIF($I$5:I107,"보유"),"")</x:f>
      </x:c>
      <x:c r="AA107" s="1"/>
      <x:c r="AB107" s="1"/>
      <x:c r="AC107" s="1"/>
      <x:c r="AD107" s="1"/>
      <x:c r="AE107" s="1"/>
    </x:row>
    <x:row r="108" ht="18" customHeight="1">
      <x:c r="A108" s="41"/>
      <x:c r="B108" s="38"/>
      <x:c r="C108" s="38"/>
      <x:c r="D108" s="41"/>
      <x:c r="E108" s="41"/>
      <x:c r="F108" s="44"/>
      <x:c r="G108" s="41"/>
      <x:c r="H108" s="41"/>
      <x:c r="I108" s="41"/>
      <x:c r="J108" s="38"/>
      <x:c r="K108" s="1"/>
      <x:c r="L108" s="1"/>
      <x:c r="M108" s="1"/>
      <x:c r="N108" s="1"/>
      <x:c r="O108" s="1"/>
      <x:c r="P108" s="1"/>
      <x:c r="Q108" s="1"/>
      <x:c r="R108" s="1"/>
      <x:c r="S108" s="1"/>
      <x:c r="T108" s="1"/>
      <x:c r="U108" s="1"/>
      <x:c r="V108" s="1"/>
      <x:c r="W108" s="1"/>
      <x:c r="X108" s="1"/>
      <x:c r="Y108" s="1"/>
      <x:c r="Z108" s="48" t="str">
        <x:f>IF(I108="보유",COUNTIF($I$5:I108,"보유"),"")</x:f>
      </x:c>
      <x:c r="AA108" s="1"/>
      <x:c r="AB108" s="1"/>
      <x:c r="AC108" s="1"/>
      <x:c r="AD108" s="1"/>
      <x:c r="AE108" s="1"/>
    </x:row>
    <x:row r="109" ht="18" customHeight="1">
      <x:c r="A109" s="41"/>
      <x:c r="B109" s="38"/>
      <x:c r="C109" s="38"/>
      <x:c r="D109" s="41"/>
      <x:c r="E109" s="41"/>
      <x:c r="F109" s="44"/>
      <x:c r="G109" s="41"/>
      <x:c r="H109" s="41"/>
      <x:c r="I109" s="41"/>
      <x:c r="J109" s="38"/>
      <x:c r="K109" s="1"/>
      <x:c r="L109" s="1"/>
      <x:c r="M109" s="1"/>
      <x:c r="N109" s="1"/>
      <x:c r="O109" s="1"/>
      <x:c r="P109" s="1"/>
      <x:c r="Q109" s="1"/>
      <x:c r="R109" s="1"/>
      <x:c r="S109" s="1"/>
      <x:c r="T109" s="1"/>
      <x:c r="U109" s="1"/>
      <x:c r="V109" s="1"/>
      <x:c r="W109" s="1"/>
      <x:c r="X109" s="1"/>
      <x:c r="Y109" s="1"/>
      <x:c r="Z109" s="48" t="str">
        <x:f>IF(I109="보유",COUNTIF($I$5:I109,"보유"),"")</x:f>
      </x:c>
      <x:c r="AA109" s="1"/>
      <x:c r="AB109" s="1"/>
      <x:c r="AC109" s="1"/>
      <x:c r="AD109" s="1"/>
      <x:c r="AE109" s="1"/>
    </x:row>
    <x:row r="110" ht="18" customHeight="1">
      <x:c r="A110" s="41"/>
      <x:c r="B110" s="38"/>
      <x:c r="C110" s="38"/>
      <x:c r="D110" s="41"/>
      <x:c r="E110" s="41"/>
      <x:c r="F110" s="44"/>
      <x:c r="G110" s="41"/>
      <x:c r="H110" s="41"/>
      <x:c r="I110" s="41"/>
      <x:c r="J110" s="38"/>
      <x:c r="K110" s="1"/>
      <x:c r="L110" s="1"/>
      <x:c r="M110" s="1"/>
      <x:c r="N110" s="1"/>
      <x:c r="O110" s="1"/>
      <x:c r="P110" s="1"/>
      <x:c r="Q110" s="1"/>
      <x:c r="R110" s="1"/>
      <x:c r="S110" s="1"/>
      <x:c r="T110" s="1"/>
      <x:c r="U110" s="1"/>
      <x:c r="V110" s="1"/>
      <x:c r="W110" s="1"/>
      <x:c r="X110" s="1"/>
      <x:c r="Y110" s="1"/>
      <x:c r="Z110" s="48" t="str">
        <x:f>IF(I110="보유",COUNTIF($I$5:I110,"보유"),"")</x:f>
      </x:c>
      <x:c r="AA110" s="1"/>
      <x:c r="AB110" s="1"/>
      <x:c r="AC110" s="1"/>
      <x:c r="AD110" s="1"/>
      <x:c r="AE110" s="1"/>
    </x:row>
    <x:row r="111" ht="18" customHeight="1">
      <x:c r="A111" s="41"/>
      <x:c r="B111" s="38"/>
      <x:c r="C111" s="38"/>
      <x:c r="D111" s="41"/>
      <x:c r="E111" s="41"/>
      <x:c r="F111" s="44"/>
      <x:c r="G111" s="41"/>
      <x:c r="H111" s="41"/>
      <x:c r="I111" s="41"/>
      <x:c r="J111" s="38"/>
      <x:c r="K111" s="1"/>
      <x:c r="L111" s="1"/>
      <x:c r="M111" s="1"/>
      <x:c r="N111" s="1"/>
      <x:c r="O111" s="1"/>
      <x:c r="P111" s="1"/>
      <x:c r="Q111" s="1"/>
      <x:c r="R111" s="1"/>
      <x:c r="S111" s="1"/>
      <x:c r="T111" s="1"/>
      <x:c r="U111" s="1"/>
      <x:c r="V111" s="1"/>
      <x:c r="W111" s="1"/>
      <x:c r="X111" s="1"/>
      <x:c r="Y111" s="1"/>
      <x:c r="Z111" s="48" t="str">
        <x:f>IF(I111="보유",COUNTIF($I$5:I111,"보유"),"")</x:f>
      </x:c>
      <x:c r="AA111" s="1"/>
      <x:c r="AB111" s="1"/>
      <x:c r="AC111" s="1"/>
      <x:c r="AD111" s="1"/>
      <x:c r="AE111" s="1"/>
    </x:row>
    <x:row r="112" ht="18" customHeight="1">
      <x:c r="A112" s="41"/>
      <x:c r="B112" s="38"/>
      <x:c r="C112" s="38"/>
      <x:c r="D112" s="41"/>
      <x:c r="E112" s="41"/>
      <x:c r="F112" s="44"/>
      <x:c r="G112" s="41"/>
      <x:c r="H112" s="41"/>
      <x:c r="I112" s="41"/>
      <x:c r="J112" s="38"/>
      <x:c r="K112" s="1"/>
      <x:c r="L112" s="1"/>
      <x:c r="M112" s="1"/>
      <x:c r="N112" s="1"/>
      <x:c r="O112" s="1"/>
      <x:c r="P112" s="1"/>
      <x:c r="Q112" s="1"/>
      <x:c r="R112" s="1"/>
      <x:c r="S112" s="1"/>
      <x:c r="T112" s="1"/>
      <x:c r="U112" s="1"/>
      <x:c r="V112" s="1"/>
      <x:c r="W112" s="1"/>
      <x:c r="X112" s="1"/>
      <x:c r="Y112" s="1"/>
      <x:c r="Z112" s="48" t="str">
        <x:f>IF(I112="보유",COUNTIF($I$5:I112,"보유"),"")</x:f>
      </x:c>
      <x:c r="AA112" s="1"/>
      <x:c r="AB112" s="1"/>
      <x:c r="AC112" s="1"/>
      <x:c r="AD112" s="1"/>
      <x:c r="AE112" s="1"/>
    </x:row>
    <x:row r="113" ht="18" customHeight="1">
      <x:c r="A113" s="41"/>
      <x:c r="B113" s="38"/>
      <x:c r="C113" s="38"/>
      <x:c r="D113" s="41"/>
      <x:c r="E113" s="41"/>
      <x:c r="F113" s="44"/>
      <x:c r="G113" s="41"/>
      <x:c r="H113" s="41"/>
      <x:c r="I113" s="41"/>
      <x:c r="J113" s="38"/>
      <x:c r="K113" s="1"/>
      <x:c r="L113" s="1"/>
      <x:c r="M113" s="1"/>
      <x:c r="N113" s="1"/>
      <x:c r="O113" s="1"/>
      <x:c r="P113" s="1"/>
      <x:c r="Q113" s="1"/>
      <x:c r="R113" s="1"/>
      <x:c r="S113" s="1"/>
      <x:c r="T113" s="1"/>
      <x:c r="U113" s="1"/>
      <x:c r="V113" s="1"/>
      <x:c r="W113" s="1"/>
      <x:c r="X113" s="1"/>
      <x:c r="Y113" s="1"/>
      <x:c r="Z113" s="48" t="str">
        <x:f>IF(I113="보유",COUNTIF($I$5:I113,"보유"),"")</x:f>
      </x:c>
      <x:c r="AA113" s="1"/>
      <x:c r="AB113" s="1"/>
      <x:c r="AC113" s="1"/>
      <x:c r="AD113" s="1"/>
      <x:c r="AE113" s="1"/>
    </x:row>
    <x:row r="114" ht="18" customHeight="1">
      <x:c r="A114" s="41"/>
      <x:c r="B114" s="38"/>
      <x:c r="C114" s="38"/>
      <x:c r="D114" s="41"/>
      <x:c r="E114" s="41"/>
      <x:c r="F114" s="44"/>
      <x:c r="G114" s="41"/>
      <x:c r="H114" s="41"/>
      <x:c r="I114" s="41"/>
      <x:c r="J114" s="38"/>
      <x:c r="K114" s="1"/>
      <x:c r="L114" s="1"/>
      <x:c r="M114" s="1"/>
      <x:c r="N114" s="1"/>
      <x:c r="O114" s="1"/>
      <x:c r="P114" s="1"/>
      <x:c r="Q114" s="1"/>
      <x:c r="R114" s="1"/>
      <x:c r="S114" s="1"/>
      <x:c r="T114" s="1"/>
      <x:c r="U114" s="1"/>
      <x:c r="V114" s="1"/>
      <x:c r="W114" s="1"/>
      <x:c r="X114" s="1"/>
      <x:c r="Y114" s="1"/>
      <x:c r="Z114" s="48" t="str">
        <x:f>IF(I114="보유",COUNTIF($I$5:I114,"보유"),"")</x:f>
      </x:c>
      <x:c r="AA114" s="1"/>
      <x:c r="AB114" s="1"/>
      <x:c r="AC114" s="1"/>
      <x:c r="AD114" s="1"/>
      <x:c r="AE114" s="1"/>
    </x:row>
    <x:row r="115" ht="18" customHeight="1">
      <x:c r="A115" s="41"/>
      <x:c r="B115" s="38"/>
      <x:c r="C115" s="38"/>
      <x:c r="D115" s="41"/>
      <x:c r="E115" s="41"/>
      <x:c r="F115" s="44"/>
      <x:c r="G115" s="41"/>
      <x:c r="H115" s="41"/>
      <x:c r="I115" s="41"/>
      <x:c r="J115" s="38"/>
      <x:c r="K115" s="1"/>
      <x:c r="L115" s="1"/>
      <x:c r="M115" s="1"/>
      <x:c r="N115" s="1"/>
      <x:c r="O115" s="1"/>
      <x:c r="P115" s="1"/>
      <x:c r="Q115" s="1"/>
      <x:c r="R115" s="1"/>
      <x:c r="S115" s="1"/>
      <x:c r="T115" s="1"/>
      <x:c r="U115" s="1"/>
      <x:c r="V115" s="1"/>
      <x:c r="W115" s="1"/>
      <x:c r="X115" s="1"/>
      <x:c r="Y115" s="1"/>
      <x:c r="Z115" s="48" t="str">
        <x:f>IF(I115="보유",COUNTIF($I$5:I115,"보유"),"")</x:f>
      </x:c>
      <x:c r="AA115" s="1"/>
      <x:c r="AB115" s="1"/>
      <x:c r="AC115" s="1"/>
      <x:c r="AD115" s="1"/>
      <x:c r="AE115" s="1"/>
    </x:row>
    <x:row r="116" ht="18" customHeight="1">
      <x:c r="A116" s="41"/>
      <x:c r="B116" s="38"/>
      <x:c r="C116" s="38"/>
      <x:c r="D116" s="41"/>
      <x:c r="E116" s="41"/>
      <x:c r="F116" s="44"/>
      <x:c r="G116" s="41"/>
      <x:c r="H116" s="41"/>
      <x:c r="I116" s="41"/>
      <x:c r="J116" s="38"/>
      <x:c r="K116" s="1"/>
      <x:c r="L116" s="1"/>
      <x:c r="M116" s="1"/>
      <x:c r="N116" s="1"/>
      <x:c r="O116" s="1"/>
      <x:c r="P116" s="1"/>
      <x:c r="Q116" s="1"/>
      <x:c r="R116" s="1"/>
      <x:c r="S116" s="1"/>
      <x:c r="T116" s="1"/>
      <x:c r="U116" s="1"/>
      <x:c r="V116" s="1"/>
      <x:c r="W116" s="1"/>
      <x:c r="X116" s="1"/>
      <x:c r="Y116" s="1"/>
      <x:c r="Z116" s="48" t="str">
        <x:f>IF(I116="보유",COUNTIF($I$5:I116,"보유"),"")</x:f>
      </x:c>
      <x:c r="AA116" s="1"/>
      <x:c r="AB116" s="1"/>
      <x:c r="AC116" s="1"/>
      <x:c r="AD116" s="1"/>
      <x:c r="AE116" s="1"/>
    </x:row>
    <x:row r="117" ht="18" customHeight="1">
      <x:c r="A117" s="41"/>
      <x:c r="B117" s="38"/>
      <x:c r="C117" s="38"/>
      <x:c r="D117" s="41"/>
      <x:c r="E117" s="41"/>
      <x:c r="F117" s="44"/>
      <x:c r="G117" s="41"/>
      <x:c r="H117" s="41"/>
      <x:c r="I117" s="41"/>
      <x:c r="J117" s="38"/>
      <x:c r="K117" s="1"/>
      <x:c r="L117" s="1"/>
      <x:c r="M117" s="1"/>
      <x:c r="N117" s="1"/>
      <x:c r="O117" s="1"/>
      <x:c r="P117" s="1"/>
      <x:c r="Q117" s="1"/>
      <x:c r="R117" s="1"/>
      <x:c r="S117" s="1"/>
      <x:c r="T117" s="1"/>
      <x:c r="U117" s="1"/>
      <x:c r="V117" s="1"/>
      <x:c r="W117" s="1"/>
      <x:c r="X117" s="1"/>
      <x:c r="Y117" s="1"/>
      <x:c r="Z117" s="48" t="str">
        <x:f>IF(I117="보유",COUNTIF($I$5:I117,"보유"),"")</x:f>
      </x:c>
      <x:c r="AA117" s="1"/>
      <x:c r="AB117" s="1"/>
      <x:c r="AC117" s="1"/>
      <x:c r="AD117" s="1"/>
      <x:c r="AE117" s="1"/>
    </x:row>
    <x:row r="118" ht="18" customHeight="1">
      <x:c r="A118" s="41"/>
      <x:c r="B118" s="38"/>
      <x:c r="C118" s="38"/>
      <x:c r="D118" s="41"/>
      <x:c r="E118" s="41"/>
      <x:c r="F118" s="44"/>
      <x:c r="G118" s="41"/>
      <x:c r="H118" s="41"/>
      <x:c r="I118" s="41"/>
      <x:c r="J118" s="38"/>
      <x:c r="K118" s="1"/>
      <x:c r="L118" s="1"/>
      <x:c r="M118" s="1"/>
      <x:c r="N118" s="1"/>
      <x:c r="O118" s="1"/>
      <x:c r="P118" s="1"/>
      <x:c r="Q118" s="1"/>
      <x:c r="R118" s="1"/>
      <x:c r="S118" s="1"/>
      <x:c r="T118" s="1"/>
      <x:c r="U118" s="1"/>
      <x:c r="V118" s="1"/>
      <x:c r="W118" s="1"/>
      <x:c r="X118" s="1"/>
      <x:c r="Y118" s="1"/>
      <x:c r="Z118" s="48" t="str">
        <x:f>IF(I118="보유",COUNTIF($I$5:I118,"보유"),"")</x:f>
      </x:c>
      <x:c r="AA118" s="1"/>
      <x:c r="AB118" s="1"/>
      <x:c r="AC118" s="1"/>
      <x:c r="AD118" s="1"/>
      <x:c r="AE118" s="1"/>
    </x:row>
    <x:row r="119" ht="18" customHeight="1">
      <x:c r="A119" s="41"/>
      <x:c r="B119" s="38"/>
      <x:c r="C119" s="38"/>
      <x:c r="D119" s="41"/>
      <x:c r="E119" s="41"/>
      <x:c r="F119" s="44"/>
      <x:c r="G119" s="41"/>
      <x:c r="H119" s="41"/>
      <x:c r="I119" s="41"/>
      <x:c r="J119" s="38"/>
      <x:c r="K119" s="1"/>
      <x:c r="L119" s="1"/>
      <x:c r="M119" s="1"/>
      <x:c r="N119" s="1"/>
      <x:c r="O119" s="1"/>
      <x:c r="P119" s="1"/>
      <x:c r="Q119" s="1"/>
      <x:c r="R119" s="1"/>
      <x:c r="S119" s="1"/>
      <x:c r="T119" s="1"/>
      <x:c r="U119" s="1"/>
      <x:c r="V119" s="1"/>
      <x:c r="W119" s="1"/>
      <x:c r="X119" s="1"/>
      <x:c r="Y119" s="1"/>
      <x:c r="Z119" s="48" t="str">
        <x:f>IF(I119="보유",COUNTIF($I$5:I119,"보유"),"")</x:f>
      </x:c>
      <x:c r="AA119" s="1"/>
      <x:c r="AB119" s="1"/>
      <x:c r="AC119" s="1"/>
      <x:c r="AD119" s="1"/>
      <x:c r="AE119" s="1"/>
    </x:row>
    <x:row r="120" ht="18" customHeight="1">
      <x:c r="A120" s="41"/>
      <x:c r="B120" s="38"/>
      <x:c r="C120" s="38"/>
      <x:c r="D120" s="41"/>
      <x:c r="E120" s="41"/>
      <x:c r="F120" s="44"/>
      <x:c r="G120" s="41"/>
      <x:c r="H120" s="41"/>
      <x:c r="I120" s="41"/>
      <x:c r="J120" s="38"/>
      <x:c r="K120" s="1"/>
      <x:c r="L120" s="1"/>
      <x:c r="M120" s="1"/>
      <x:c r="N120" s="1"/>
      <x:c r="O120" s="1"/>
      <x:c r="P120" s="1"/>
      <x:c r="Q120" s="1"/>
      <x:c r="R120" s="1"/>
      <x:c r="S120" s="1"/>
      <x:c r="T120" s="1"/>
      <x:c r="U120" s="1"/>
      <x:c r="V120" s="1"/>
      <x:c r="W120" s="1"/>
      <x:c r="X120" s="1"/>
      <x:c r="Y120" s="1"/>
      <x:c r="Z120" s="48" t="str">
        <x:f>IF(I120="보유",COUNTIF($I$5:I120,"보유"),"")</x:f>
      </x:c>
      <x:c r="AA120" s="1"/>
      <x:c r="AB120" s="1"/>
      <x:c r="AC120" s="1"/>
      <x:c r="AD120" s="1"/>
      <x:c r="AE120" s="1"/>
    </x:row>
    <x:row r="121" ht="18" customHeight="1">
      <x:c r="A121" s="41"/>
      <x:c r="B121" s="38"/>
      <x:c r="C121" s="38"/>
      <x:c r="D121" s="41"/>
      <x:c r="E121" s="41"/>
      <x:c r="F121" s="44"/>
      <x:c r="G121" s="41"/>
      <x:c r="H121" s="41"/>
      <x:c r="I121" s="41"/>
      <x:c r="J121" s="38"/>
      <x:c r="K121" s="1"/>
      <x:c r="L121" s="1"/>
      <x:c r="M121" s="1"/>
      <x:c r="N121" s="1"/>
      <x:c r="O121" s="1"/>
      <x:c r="P121" s="1"/>
      <x:c r="Q121" s="1"/>
      <x:c r="R121" s="1"/>
      <x:c r="S121" s="1"/>
      <x:c r="T121" s="1"/>
      <x:c r="U121" s="1"/>
      <x:c r="V121" s="1"/>
      <x:c r="W121" s="1"/>
      <x:c r="X121" s="1"/>
      <x:c r="Y121" s="1"/>
      <x:c r="Z121" s="48" t="str">
        <x:f>IF(I121="보유",COUNTIF($I$5:I121,"보유"),"")</x:f>
      </x:c>
      <x:c r="AA121" s="1"/>
      <x:c r="AB121" s="1"/>
      <x:c r="AC121" s="1"/>
      <x:c r="AD121" s="1"/>
      <x:c r="AE121" s="1"/>
    </x:row>
    <x:row r="122" ht="18" customHeight="1">
      <x:c r="A122" s="41"/>
      <x:c r="B122" s="38"/>
      <x:c r="C122" s="38"/>
      <x:c r="D122" s="41"/>
      <x:c r="E122" s="41"/>
      <x:c r="F122" s="44"/>
      <x:c r="G122" s="41"/>
      <x:c r="H122" s="41"/>
      <x:c r="I122" s="41"/>
      <x:c r="J122" s="38"/>
      <x:c r="K122" s="1"/>
      <x:c r="L122" s="1"/>
      <x:c r="M122" s="1"/>
      <x:c r="N122" s="1"/>
      <x:c r="O122" s="1"/>
      <x:c r="P122" s="1"/>
      <x:c r="Q122" s="1"/>
      <x:c r="R122" s="1"/>
      <x:c r="S122" s="1"/>
      <x:c r="T122" s="1"/>
      <x:c r="U122" s="1"/>
      <x:c r="V122" s="1"/>
      <x:c r="W122" s="1"/>
      <x:c r="X122" s="1"/>
      <x:c r="Y122" s="1"/>
      <x:c r="Z122" s="48" t="str">
        <x:f>IF(I122="보유",COUNTIF($I$5:I122,"보유"),"")</x:f>
      </x:c>
      <x:c r="AA122" s="1"/>
      <x:c r="AB122" s="1"/>
      <x:c r="AC122" s="1"/>
      <x:c r="AD122" s="1"/>
      <x:c r="AE122" s="1"/>
    </x:row>
    <x:row r="123" ht="18" customHeight="1">
      <x:c r="A123" s="41"/>
      <x:c r="B123" s="38"/>
      <x:c r="C123" s="38"/>
      <x:c r="D123" s="41"/>
      <x:c r="E123" s="41"/>
      <x:c r="F123" s="44"/>
      <x:c r="G123" s="41"/>
      <x:c r="H123" s="41"/>
      <x:c r="I123" s="41"/>
      <x:c r="J123" s="38"/>
      <x:c r="K123" s="1"/>
      <x:c r="L123" s="1"/>
      <x:c r="M123" s="1"/>
      <x:c r="N123" s="1"/>
      <x:c r="O123" s="1"/>
      <x:c r="P123" s="1"/>
      <x:c r="Q123" s="1"/>
      <x:c r="R123" s="1"/>
      <x:c r="S123" s="1"/>
      <x:c r="T123" s="1"/>
      <x:c r="U123" s="1"/>
      <x:c r="V123" s="1"/>
      <x:c r="W123" s="1"/>
      <x:c r="X123" s="1"/>
      <x:c r="Y123" s="1"/>
      <x:c r="Z123" s="48" t="str">
        <x:f>IF(I123="보유",COUNTIF($I$5:I123,"보유"),"")</x:f>
      </x:c>
      <x:c r="AA123" s="1"/>
      <x:c r="AB123" s="1"/>
      <x:c r="AC123" s="1"/>
      <x:c r="AD123" s="1"/>
      <x:c r="AE123" s="1"/>
    </x:row>
    <x:row r="124" ht="18" customHeight="1">
      <x:c r="A124" s="41"/>
      <x:c r="B124" s="38"/>
      <x:c r="C124" s="38"/>
      <x:c r="D124" s="41"/>
      <x:c r="E124" s="41"/>
      <x:c r="F124" s="44"/>
      <x:c r="G124" s="41"/>
      <x:c r="H124" s="41"/>
      <x:c r="I124" s="41"/>
      <x:c r="J124" s="38"/>
      <x:c r="K124" s="1"/>
      <x:c r="L124" s="1"/>
      <x:c r="M124" s="1"/>
      <x:c r="N124" s="1"/>
      <x:c r="O124" s="1"/>
      <x:c r="P124" s="1"/>
      <x:c r="Q124" s="1"/>
      <x:c r="R124" s="1"/>
      <x:c r="S124" s="1"/>
      <x:c r="T124" s="1"/>
      <x:c r="U124" s="1"/>
      <x:c r="V124" s="1"/>
      <x:c r="W124" s="1"/>
      <x:c r="X124" s="1"/>
      <x:c r="Y124" s="1"/>
      <x:c r="Z124" s="48" t="str">
        <x:f>IF(I124="보유",COUNTIF($I$5:I124,"보유"),"")</x:f>
      </x:c>
      <x:c r="AA124" s="1"/>
      <x:c r="AB124" s="1"/>
      <x:c r="AC124" s="1"/>
      <x:c r="AD124" s="1"/>
      <x:c r="AE124" s="1"/>
    </x:row>
    <x:row r="125" ht="18" customHeight="1">
      <x:c r="A125" s="41"/>
      <x:c r="B125" s="38"/>
      <x:c r="C125" s="38"/>
      <x:c r="D125" s="41"/>
      <x:c r="E125" s="41"/>
      <x:c r="F125" s="44"/>
      <x:c r="G125" s="41"/>
      <x:c r="H125" s="41"/>
      <x:c r="I125" s="41"/>
      <x:c r="J125" s="38"/>
      <x:c r="K125" s="1"/>
      <x:c r="L125" s="1"/>
      <x:c r="M125" s="1"/>
      <x:c r="N125" s="1"/>
      <x:c r="O125" s="1"/>
      <x:c r="P125" s="1"/>
      <x:c r="Q125" s="1"/>
      <x:c r="R125" s="1"/>
      <x:c r="S125" s="1"/>
      <x:c r="T125" s="1"/>
      <x:c r="U125" s="1"/>
      <x:c r="V125" s="1"/>
      <x:c r="W125" s="1"/>
      <x:c r="X125" s="1"/>
      <x:c r="Y125" s="1"/>
      <x:c r="Z125" s="48" t="str">
        <x:f>IF(I125="보유",COUNTIF($I$5:I125,"보유"),"")</x:f>
      </x:c>
      <x:c r="AA125" s="1"/>
      <x:c r="AB125" s="1"/>
      <x:c r="AC125" s="1"/>
      <x:c r="AD125" s="1"/>
      <x:c r="AE125" s="1"/>
    </x:row>
    <x:row r="126" ht="18" customHeight="1">
      <x:c r="A126" s="41"/>
      <x:c r="B126" s="38"/>
      <x:c r="C126" s="38"/>
      <x:c r="D126" s="41"/>
      <x:c r="E126" s="41"/>
      <x:c r="F126" s="44"/>
      <x:c r="G126" s="41"/>
      <x:c r="H126" s="41"/>
      <x:c r="I126" s="41"/>
      <x:c r="J126" s="38"/>
      <x:c r="K126" s="1"/>
      <x:c r="L126" s="1"/>
      <x:c r="M126" s="1"/>
      <x:c r="N126" s="1"/>
      <x:c r="O126" s="1"/>
      <x:c r="P126" s="1"/>
      <x:c r="Q126" s="1"/>
      <x:c r="R126" s="1"/>
      <x:c r="S126" s="1"/>
      <x:c r="T126" s="1"/>
      <x:c r="U126" s="1"/>
      <x:c r="V126" s="1"/>
      <x:c r="W126" s="1"/>
      <x:c r="X126" s="1"/>
      <x:c r="Y126" s="1"/>
      <x:c r="Z126" s="48" t="str">
        <x:f>IF(I126="보유",COUNTIF($I$5:I126,"보유"),"")</x:f>
      </x:c>
      <x:c r="AA126" s="1"/>
      <x:c r="AB126" s="1"/>
      <x:c r="AC126" s="1"/>
      <x:c r="AD126" s="1"/>
      <x:c r="AE126" s="1"/>
    </x:row>
    <x:row r="127" ht="18" customHeight="1">
      <x:c r="A127" s="41"/>
      <x:c r="B127" s="38"/>
      <x:c r="C127" s="38"/>
      <x:c r="D127" s="41"/>
      <x:c r="E127" s="41"/>
      <x:c r="F127" s="44"/>
      <x:c r="G127" s="41"/>
      <x:c r="H127" s="41"/>
      <x:c r="I127" s="41"/>
      <x:c r="J127" s="38"/>
      <x:c r="K127" s="1"/>
      <x:c r="L127" s="1"/>
      <x:c r="M127" s="1"/>
      <x:c r="N127" s="1"/>
      <x:c r="O127" s="1"/>
      <x:c r="P127" s="1"/>
      <x:c r="Q127" s="1"/>
      <x:c r="R127" s="1"/>
      <x:c r="S127" s="1"/>
      <x:c r="T127" s="1"/>
      <x:c r="U127" s="1"/>
      <x:c r="V127" s="1"/>
      <x:c r="W127" s="1"/>
      <x:c r="X127" s="1"/>
      <x:c r="Y127" s="1"/>
      <x:c r="Z127" s="48" t="str">
        <x:f>IF(I127="보유",COUNTIF($I$5:I127,"보유"),"")</x:f>
      </x:c>
      <x:c r="AA127" s="1"/>
      <x:c r="AB127" s="1"/>
      <x:c r="AC127" s="1"/>
      <x:c r="AD127" s="1"/>
      <x:c r="AE127" s="1"/>
    </x:row>
    <x:row r="128" ht="18" customHeight="1">
      <x:c r="A128" s="41"/>
      <x:c r="B128" s="38"/>
      <x:c r="C128" s="38"/>
      <x:c r="D128" s="41"/>
      <x:c r="E128" s="41"/>
      <x:c r="F128" s="44"/>
      <x:c r="G128" s="41"/>
      <x:c r="H128" s="41"/>
      <x:c r="I128" s="41"/>
      <x:c r="J128" s="38"/>
      <x:c r="K128" s="1"/>
      <x:c r="L128" s="1"/>
      <x:c r="M128" s="1"/>
      <x:c r="N128" s="1"/>
      <x:c r="O128" s="1"/>
      <x:c r="P128" s="1"/>
      <x:c r="Q128" s="1"/>
      <x:c r="R128" s="1"/>
      <x:c r="S128" s="1"/>
      <x:c r="T128" s="1"/>
      <x:c r="U128" s="1"/>
      <x:c r="V128" s="1"/>
      <x:c r="W128" s="1"/>
      <x:c r="X128" s="1"/>
      <x:c r="Y128" s="1"/>
      <x:c r="Z128" s="48" t="str">
        <x:f>IF(I128="보유",COUNTIF($I$5:I128,"보유"),"")</x:f>
      </x:c>
      <x:c r="AA128" s="1"/>
      <x:c r="AB128" s="1"/>
      <x:c r="AC128" s="1"/>
      <x:c r="AD128" s="1"/>
      <x:c r="AE128" s="1"/>
    </x:row>
    <x:row r="129" ht="18" customHeight="1">
      <x:c r="A129" s="41"/>
      <x:c r="B129" s="38"/>
      <x:c r="C129" s="38"/>
      <x:c r="D129" s="41"/>
      <x:c r="E129" s="41"/>
      <x:c r="F129" s="44"/>
      <x:c r="G129" s="41"/>
      <x:c r="H129" s="41"/>
      <x:c r="I129" s="41"/>
      <x:c r="J129" s="38"/>
      <x:c r="K129" s="1"/>
      <x:c r="L129" s="1"/>
      <x:c r="M129" s="1"/>
      <x:c r="N129" s="1"/>
      <x:c r="O129" s="1"/>
      <x:c r="P129" s="1"/>
      <x:c r="Q129" s="1"/>
      <x:c r="R129" s="1"/>
      <x:c r="S129" s="1"/>
      <x:c r="T129" s="1"/>
      <x:c r="U129" s="1"/>
      <x:c r="V129" s="1"/>
      <x:c r="W129" s="1"/>
      <x:c r="X129" s="1"/>
      <x:c r="Y129" s="1"/>
      <x:c r="Z129" s="48" t="str">
        <x:f>IF(I129="보유",COUNTIF($I$5:I129,"보유"),"")</x:f>
      </x:c>
      <x:c r="AA129" s="1"/>
      <x:c r="AB129" s="1"/>
      <x:c r="AC129" s="1"/>
      <x:c r="AD129" s="1"/>
      <x:c r="AE129" s="1"/>
    </x:row>
    <x:row r="130" ht="18" customHeight="1">
      <x:c r="A130" s="41"/>
      <x:c r="B130" s="38"/>
      <x:c r="C130" s="38"/>
      <x:c r="D130" s="41"/>
      <x:c r="E130" s="41"/>
      <x:c r="F130" s="44"/>
      <x:c r="G130" s="41"/>
      <x:c r="H130" s="41"/>
      <x:c r="I130" s="41"/>
      <x:c r="J130" s="38"/>
      <x:c r="K130" s="1"/>
      <x:c r="L130" s="1"/>
      <x:c r="M130" s="1"/>
      <x:c r="N130" s="1"/>
      <x:c r="O130" s="1"/>
      <x:c r="P130" s="1"/>
      <x:c r="Q130" s="1"/>
      <x:c r="R130" s="1"/>
      <x:c r="S130" s="1"/>
      <x:c r="T130" s="1"/>
      <x:c r="U130" s="1"/>
      <x:c r="V130" s="1"/>
      <x:c r="W130" s="1"/>
      <x:c r="X130" s="1"/>
      <x:c r="Y130" s="1"/>
      <x:c r="Z130" s="48" t="str">
        <x:f>IF(I130="보유",COUNTIF($I$5:I130,"보유"),"")</x:f>
      </x:c>
      <x:c r="AA130" s="1"/>
      <x:c r="AB130" s="1"/>
      <x:c r="AC130" s="1"/>
      <x:c r="AD130" s="1"/>
      <x:c r="AE130" s="1"/>
    </x:row>
    <x:row r="131" ht="18" customHeight="1">
      <x:c r="A131" s="41"/>
      <x:c r="B131" s="38"/>
      <x:c r="C131" s="38"/>
      <x:c r="D131" s="41"/>
      <x:c r="E131" s="41"/>
      <x:c r="F131" s="44"/>
      <x:c r="G131" s="41"/>
      <x:c r="H131" s="41"/>
      <x:c r="I131" s="41"/>
      <x:c r="J131" s="38"/>
      <x:c r="K131" s="1"/>
      <x:c r="L131" s="1"/>
      <x:c r="M131" s="1"/>
      <x:c r="N131" s="1"/>
      <x:c r="O131" s="1"/>
      <x:c r="P131" s="1"/>
      <x:c r="Q131" s="1"/>
      <x:c r="R131" s="1"/>
      <x:c r="S131" s="1"/>
      <x:c r="T131" s="1"/>
      <x:c r="U131" s="1"/>
      <x:c r="V131" s="1"/>
      <x:c r="W131" s="1"/>
      <x:c r="X131" s="1"/>
      <x:c r="Y131" s="1"/>
      <x:c r="Z131" s="48" t="str">
        <x:f>IF(I131="보유",COUNTIF($I$5:I131,"보유"),"")</x:f>
      </x:c>
      <x:c r="AA131" s="1"/>
      <x:c r="AB131" s="1"/>
      <x:c r="AC131" s="1"/>
      <x:c r="AD131" s="1"/>
      <x:c r="AE131" s="1"/>
    </x:row>
    <x:row r="132" ht="18" customHeight="1">
      <x:c r="A132" s="41"/>
      <x:c r="B132" s="38"/>
      <x:c r="C132" s="38"/>
      <x:c r="D132" s="41"/>
      <x:c r="E132" s="41"/>
      <x:c r="F132" s="44"/>
      <x:c r="G132" s="41"/>
      <x:c r="H132" s="41"/>
      <x:c r="I132" s="41"/>
      <x:c r="J132" s="38"/>
      <x:c r="K132" s="1"/>
      <x:c r="L132" s="1"/>
      <x:c r="M132" s="1"/>
      <x:c r="N132" s="1"/>
      <x:c r="O132" s="1"/>
      <x:c r="P132" s="1"/>
      <x:c r="Q132" s="1"/>
      <x:c r="R132" s="1"/>
      <x:c r="S132" s="1"/>
      <x:c r="T132" s="1"/>
      <x:c r="U132" s="1"/>
      <x:c r="V132" s="1"/>
      <x:c r="W132" s="1"/>
      <x:c r="X132" s="1"/>
      <x:c r="Y132" s="1"/>
      <x:c r="Z132" s="48" t="str">
        <x:f>IF(I132="보유",COUNTIF($I$5:I132,"보유"),"")</x:f>
      </x:c>
      <x:c r="AA132" s="1"/>
      <x:c r="AB132" s="1"/>
      <x:c r="AC132" s="1"/>
      <x:c r="AD132" s="1"/>
      <x:c r="AE132" s="1"/>
    </x:row>
    <x:row r="133" ht="18" customHeight="1">
      <x:c r="A133" s="41"/>
      <x:c r="B133" s="38"/>
      <x:c r="C133" s="38"/>
      <x:c r="D133" s="41"/>
      <x:c r="E133" s="41"/>
      <x:c r="F133" s="44"/>
      <x:c r="G133" s="41"/>
      <x:c r="H133" s="41"/>
      <x:c r="I133" s="41"/>
      <x:c r="J133" s="38"/>
      <x:c r="K133" s="1"/>
      <x:c r="L133" s="1"/>
      <x:c r="M133" s="1"/>
      <x:c r="N133" s="1"/>
      <x:c r="O133" s="1"/>
      <x:c r="P133" s="1"/>
      <x:c r="Q133" s="1"/>
      <x:c r="R133" s="1"/>
      <x:c r="S133" s="1"/>
      <x:c r="T133" s="1"/>
      <x:c r="U133" s="1"/>
      <x:c r="V133" s="1"/>
      <x:c r="W133" s="1"/>
      <x:c r="X133" s="1"/>
      <x:c r="Y133" s="1"/>
      <x:c r="Z133" s="48" t="str">
        <x:f>IF(I133="보유",COUNTIF($I$5:I133,"보유"),"")</x:f>
      </x:c>
      <x:c r="AA133" s="1"/>
      <x:c r="AB133" s="1"/>
      <x:c r="AC133" s="1"/>
      <x:c r="AD133" s="1"/>
      <x:c r="AE133" s="1"/>
    </x:row>
    <x:row r="134" ht="18" customHeight="1">
      <x:c r="A134" s="41"/>
      <x:c r="B134" s="38"/>
      <x:c r="C134" s="38"/>
      <x:c r="D134" s="41"/>
      <x:c r="E134" s="41"/>
      <x:c r="F134" s="44"/>
      <x:c r="G134" s="41"/>
      <x:c r="H134" s="41"/>
      <x:c r="I134" s="41"/>
      <x:c r="J134" s="38"/>
      <x:c r="K134" s="1"/>
      <x:c r="L134" s="1"/>
      <x:c r="M134" s="1"/>
      <x:c r="N134" s="1"/>
      <x:c r="O134" s="1"/>
      <x:c r="P134" s="1"/>
      <x:c r="Q134" s="1"/>
      <x:c r="R134" s="1"/>
      <x:c r="S134" s="1"/>
      <x:c r="T134" s="1"/>
      <x:c r="U134" s="1"/>
      <x:c r="V134" s="1"/>
      <x:c r="W134" s="1"/>
      <x:c r="X134" s="1"/>
      <x:c r="Y134" s="1"/>
      <x:c r="Z134" s="48" t="str">
        <x:f>IF(I134="보유",COUNTIF($I$5:I134,"보유"),"")</x:f>
      </x:c>
      <x:c r="AA134" s="1"/>
      <x:c r="AB134" s="1"/>
      <x:c r="AC134" s="1"/>
      <x:c r="AD134" s="1"/>
      <x:c r="AE134" s="1"/>
    </x:row>
    <x:row r="135" ht="18" customHeight="1">
      <x:c r="A135" s="41"/>
      <x:c r="B135" s="38"/>
      <x:c r="C135" s="38"/>
      <x:c r="D135" s="41"/>
      <x:c r="E135" s="41"/>
      <x:c r="F135" s="44"/>
      <x:c r="G135" s="41"/>
      <x:c r="H135" s="41"/>
      <x:c r="I135" s="41"/>
      <x:c r="J135" s="38"/>
      <x:c r="K135" s="1"/>
      <x:c r="L135" s="1"/>
      <x:c r="M135" s="1"/>
      <x:c r="N135" s="1"/>
      <x:c r="O135" s="1"/>
      <x:c r="P135" s="1"/>
      <x:c r="Q135" s="1"/>
      <x:c r="R135" s="1"/>
      <x:c r="S135" s="1"/>
      <x:c r="T135" s="1"/>
      <x:c r="U135" s="1"/>
      <x:c r="V135" s="1"/>
      <x:c r="W135" s="1"/>
      <x:c r="X135" s="1"/>
      <x:c r="Y135" s="1"/>
      <x:c r="Z135" s="48" t="str">
        <x:f>IF(I135="보유",COUNTIF($I$5:I135,"보유"),"")</x:f>
      </x:c>
      <x:c r="AA135" s="1"/>
      <x:c r="AB135" s="1"/>
      <x:c r="AC135" s="1"/>
      <x:c r="AD135" s="1"/>
      <x:c r="AE135" s="1"/>
    </x:row>
    <x:row r="136" ht="18" customHeight="1">
      <x:c r="A136" s="41"/>
      <x:c r="B136" s="38"/>
      <x:c r="C136" s="38"/>
      <x:c r="D136" s="41"/>
      <x:c r="E136" s="41"/>
      <x:c r="F136" s="44"/>
      <x:c r="G136" s="41"/>
      <x:c r="H136" s="41"/>
      <x:c r="I136" s="41"/>
      <x:c r="J136" s="38"/>
      <x:c r="K136" s="1"/>
      <x:c r="L136" s="1"/>
      <x:c r="M136" s="1"/>
      <x:c r="N136" s="1"/>
      <x:c r="O136" s="1"/>
      <x:c r="P136" s="1"/>
      <x:c r="Q136" s="1"/>
      <x:c r="R136" s="1"/>
      <x:c r="S136" s="1"/>
      <x:c r="T136" s="1"/>
      <x:c r="U136" s="1"/>
      <x:c r="V136" s="1"/>
      <x:c r="W136" s="1"/>
      <x:c r="X136" s="1"/>
      <x:c r="Y136" s="1"/>
      <x:c r="Z136" s="48" t="str">
        <x:f>IF(I136="보유",COUNTIF($I$5:I136,"보유"),"")</x:f>
      </x:c>
      <x:c r="AA136" s="1"/>
      <x:c r="AB136" s="1"/>
      <x:c r="AC136" s="1"/>
      <x:c r="AD136" s="1"/>
      <x:c r="AE136" s="1"/>
    </x:row>
    <x:row r="137" ht="18" customHeight="1">
      <x:c r="A137" s="41"/>
      <x:c r="B137" s="38"/>
      <x:c r="C137" s="38"/>
      <x:c r="D137" s="41"/>
      <x:c r="E137" s="41"/>
      <x:c r="F137" s="44"/>
      <x:c r="G137" s="41"/>
      <x:c r="H137" s="41"/>
      <x:c r="I137" s="41"/>
      <x:c r="J137" s="38"/>
      <x:c r="K137" s="1"/>
      <x:c r="L137" s="1"/>
      <x:c r="M137" s="1"/>
      <x:c r="N137" s="1"/>
      <x:c r="O137" s="1"/>
      <x:c r="P137" s="1"/>
      <x:c r="Q137" s="1"/>
      <x:c r="R137" s="1"/>
      <x:c r="S137" s="1"/>
      <x:c r="T137" s="1"/>
      <x:c r="U137" s="1"/>
      <x:c r="V137" s="1"/>
      <x:c r="W137" s="1"/>
      <x:c r="X137" s="1"/>
      <x:c r="Y137" s="1"/>
      <x:c r="Z137" s="48" t="str">
        <x:f>IF(I137="보유",COUNTIF($I$5:I137,"보유"),"")</x:f>
      </x:c>
      <x:c r="AA137" s="1"/>
      <x:c r="AB137" s="1"/>
      <x:c r="AC137" s="1"/>
      <x:c r="AD137" s="1"/>
      <x:c r="AE137" s="1"/>
    </x:row>
    <x:row r="138" ht="18" customHeight="1">
      <x:c r="A138" s="41"/>
      <x:c r="B138" s="38"/>
      <x:c r="C138" s="38"/>
      <x:c r="D138" s="41"/>
      <x:c r="E138" s="41"/>
      <x:c r="F138" s="44"/>
      <x:c r="G138" s="41"/>
      <x:c r="H138" s="41"/>
      <x:c r="I138" s="41"/>
      <x:c r="J138" s="38"/>
      <x:c r="K138" s="1"/>
      <x:c r="L138" s="1"/>
      <x:c r="M138" s="1"/>
      <x:c r="N138" s="1"/>
      <x:c r="O138" s="1"/>
      <x:c r="P138" s="1"/>
      <x:c r="Q138" s="1"/>
      <x:c r="R138" s="1"/>
      <x:c r="S138" s="1"/>
      <x:c r="T138" s="1"/>
      <x:c r="U138" s="1"/>
      <x:c r="V138" s="1"/>
      <x:c r="W138" s="1"/>
      <x:c r="X138" s="1"/>
      <x:c r="Y138" s="1"/>
      <x:c r="Z138" s="48" t="str">
        <x:f>IF(I138="보유",COUNTIF($I$5:I138,"보유"),"")</x:f>
      </x:c>
      <x:c r="AA138" s="1"/>
      <x:c r="AB138" s="1"/>
      <x:c r="AC138" s="1"/>
      <x:c r="AD138" s="1"/>
      <x:c r="AE138" s="1"/>
    </x:row>
    <x:row r="139" ht="18" customHeight="1">
      <x:c r="A139" s="41"/>
      <x:c r="B139" s="38"/>
      <x:c r="C139" s="38"/>
      <x:c r="D139" s="41"/>
      <x:c r="E139" s="41"/>
      <x:c r="F139" s="44"/>
      <x:c r="G139" s="41"/>
      <x:c r="H139" s="41"/>
      <x:c r="I139" s="41"/>
      <x:c r="J139" s="38"/>
      <x:c r="K139" s="1"/>
      <x:c r="L139" s="1"/>
      <x:c r="M139" s="1"/>
      <x:c r="N139" s="1"/>
      <x:c r="O139" s="1"/>
      <x:c r="P139" s="1"/>
      <x:c r="Q139" s="1"/>
      <x:c r="R139" s="1"/>
      <x:c r="S139" s="1"/>
      <x:c r="T139" s="1"/>
      <x:c r="U139" s="1"/>
      <x:c r="V139" s="1"/>
      <x:c r="W139" s="1"/>
      <x:c r="X139" s="1"/>
      <x:c r="Y139" s="1"/>
      <x:c r="Z139" s="48" t="str">
        <x:f>IF(I139="보유",COUNTIF($I$5:I139,"보유"),"")</x:f>
      </x:c>
      <x:c r="AA139" s="1"/>
      <x:c r="AB139" s="1"/>
      <x:c r="AC139" s="1"/>
      <x:c r="AD139" s="1"/>
      <x:c r="AE139" s="1"/>
    </x:row>
    <x:row r="140" ht="18" customHeight="1">
      <x:c r="A140" s="41"/>
      <x:c r="B140" s="38"/>
      <x:c r="C140" s="38"/>
      <x:c r="D140" s="41"/>
      <x:c r="E140" s="41"/>
      <x:c r="F140" s="44"/>
      <x:c r="G140" s="41"/>
      <x:c r="H140" s="41"/>
      <x:c r="I140" s="41"/>
      <x:c r="J140" s="38"/>
      <x:c r="K140" s="1"/>
      <x:c r="L140" s="1"/>
      <x:c r="M140" s="1"/>
      <x:c r="N140" s="1"/>
      <x:c r="O140" s="1"/>
      <x:c r="P140" s="1"/>
      <x:c r="Q140" s="1"/>
      <x:c r="R140" s="1"/>
      <x:c r="S140" s="1"/>
      <x:c r="T140" s="1"/>
      <x:c r="U140" s="1"/>
      <x:c r="V140" s="1"/>
      <x:c r="W140" s="1"/>
      <x:c r="X140" s="1"/>
      <x:c r="Y140" s="1"/>
      <x:c r="Z140" s="48" t="str">
        <x:f>IF(I140="보유",COUNTIF($I$5:I140,"보유"),"")</x:f>
      </x:c>
      <x:c r="AA140" s="1"/>
      <x:c r="AB140" s="1"/>
      <x:c r="AC140" s="1"/>
      <x:c r="AD140" s="1"/>
      <x:c r="AE140" s="1"/>
    </x:row>
    <x:row r="141" ht="18" customHeight="1">
      <x:c r="A141" s="41"/>
      <x:c r="B141" s="38"/>
      <x:c r="C141" s="38"/>
      <x:c r="D141" s="41"/>
      <x:c r="E141" s="41"/>
      <x:c r="F141" s="44"/>
      <x:c r="G141" s="41"/>
      <x:c r="H141" s="41"/>
      <x:c r="I141" s="41"/>
      <x:c r="J141" s="38"/>
      <x:c r="K141" s="1"/>
      <x:c r="L141" s="1"/>
      <x:c r="M141" s="1"/>
      <x:c r="N141" s="1"/>
      <x:c r="O141" s="1"/>
      <x:c r="P141" s="1"/>
      <x:c r="Q141" s="1"/>
      <x:c r="R141" s="1"/>
      <x:c r="S141" s="1"/>
      <x:c r="T141" s="1"/>
      <x:c r="U141" s="1"/>
      <x:c r="V141" s="1"/>
      <x:c r="W141" s="1"/>
      <x:c r="X141" s="1"/>
      <x:c r="Y141" s="1"/>
      <x:c r="Z141" s="48" t="str">
        <x:f>IF(I141="보유",COUNTIF($I$5:I141,"보유"),"")</x:f>
      </x:c>
      <x:c r="AA141" s="1"/>
      <x:c r="AB141" s="1"/>
      <x:c r="AC141" s="1"/>
      <x:c r="AD141" s="1"/>
      <x:c r="AE141" s="1"/>
    </x:row>
    <x:row r="142" ht="18" customHeight="1">
      <x:c r="A142" s="41"/>
      <x:c r="B142" s="38"/>
      <x:c r="C142" s="38"/>
      <x:c r="D142" s="41"/>
      <x:c r="E142" s="41"/>
      <x:c r="F142" s="44"/>
      <x:c r="G142" s="41"/>
      <x:c r="H142" s="41"/>
      <x:c r="I142" s="41"/>
      <x:c r="J142" s="38"/>
      <x:c r="K142" s="1"/>
      <x:c r="L142" s="1"/>
      <x:c r="M142" s="1"/>
      <x:c r="N142" s="1"/>
      <x:c r="O142" s="1"/>
      <x:c r="P142" s="1"/>
      <x:c r="Q142" s="1"/>
      <x:c r="R142" s="1"/>
      <x:c r="S142" s="1"/>
      <x:c r="T142" s="1"/>
      <x:c r="U142" s="1"/>
      <x:c r="V142" s="1"/>
      <x:c r="W142" s="1"/>
      <x:c r="X142" s="1"/>
      <x:c r="Y142" s="1"/>
      <x:c r="Z142" s="48" t="str">
        <x:f>IF(I142="보유",COUNTIF($I$5:I142,"보유"),"")</x:f>
      </x:c>
      <x:c r="AA142" s="1"/>
      <x:c r="AB142" s="1"/>
      <x:c r="AC142" s="1"/>
      <x:c r="AD142" s="1"/>
      <x:c r="AE142" s="1"/>
    </x:row>
    <x:row r="143" ht="18" customHeight="1">
      <x:c r="A143" s="41"/>
      <x:c r="B143" s="38"/>
      <x:c r="C143" s="38"/>
      <x:c r="D143" s="41"/>
      <x:c r="E143" s="41"/>
      <x:c r="F143" s="44"/>
      <x:c r="G143" s="41"/>
      <x:c r="H143" s="41"/>
      <x:c r="I143" s="41"/>
      <x:c r="J143" s="38"/>
      <x:c r="K143" s="1"/>
      <x:c r="L143" s="1"/>
      <x:c r="M143" s="1"/>
      <x:c r="N143" s="1"/>
      <x:c r="O143" s="1"/>
      <x:c r="P143" s="1"/>
      <x:c r="Q143" s="1"/>
      <x:c r="R143" s="1"/>
      <x:c r="S143" s="1"/>
      <x:c r="T143" s="1"/>
      <x:c r="U143" s="1"/>
      <x:c r="V143" s="1"/>
      <x:c r="W143" s="1"/>
      <x:c r="X143" s="1"/>
      <x:c r="Y143" s="1"/>
      <x:c r="Z143" s="48" t="str">
        <x:f>IF(I143="보유",COUNTIF($I$5:I143,"보유"),"")</x:f>
      </x:c>
      <x:c r="AA143" s="1"/>
      <x:c r="AB143" s="1"/>
      <x:c r="AC143" s="1"/>
      <x:c r="AD143" s="1"/>
      <x:c r="AE143" s="1"/>
    </x:row>
    <x:row r="144" ht="18" customHeight="1">
      <x:c r="A144" s="41"/>
      <x:c r="B144" s="38"/>
      <x:c r="C144" s="38"/>
      <x:c r="D144" s="41"/>
      <x:c r="E144" s="41"/>
      <x:c r="F144" s="44"/>
      <x:c r="G144" s="41"/>
      <x:c r="H144" s="41"/>
      <x:c r="I144" s="41"/>
      <x:c r="J144" s="38"/>
      <x:c r="K144" s="1"/>
      <x:c r="L144" s="1"/>
      <x:c r="M144" s="1"/>
      <x:c r="N144" s="1"/>
      <x:c r="O144" s="1"/>
      <x:c r="P144" s="1"/>
      <x:c r="Q144" s="1"/>
      <x:c r="R144" s="1"/>
      <x:c r="S144" s="1"/>
      <x:c r="T144" s="1"/>
      <x:c r="U144" s="1"/>
      <x:c r="V144" s="1"/>
      <x:c r="W144" s="1"/>
      <x:c r="X144" s="1"/>
      <x:c r="Y144" s="1"/>
      <x:c r="Z144" s="48" t="str">
        <x:f>IF(I144="보유",COUNTIF($I$5:I144,"보유"),"")</x:f>
      </x:c>
      <x:c r="AA144" s="1"/>
      <x:c r="AB144" s="1"/>
      <x:c r="AC144" s="1"/>
      <x:c r="AD144" s="1"/>
      <x:c r="AE144" s="1"/>
    </x:row>
    <x:row r="145" ht="18" customHeight="1">
      <x:c r="A145" s="41"/>
      <x:c r="B145" s="38"/>
      <x:c r="C145" s="38"/>
      <x:c r="D145" s="41"/>
      <x:c r="E145" s="41"/>
      <x:c r="F145" s="44"/>
      <x:c r="G145" s="41"/>
      <x:c r="H145" s="41"/>
      <x:c r="I145" s="41"/>
      <x:c r="J145" s="38"/>
      <x:c r="K145" s="1"/>
      <x:c r="L145" s="1"/>
      <x:c r="M145" s="1"/>
      <x:c r="N145" s="1"/>
      <x:c r="O145" s="1"/>
      <x:c r="P145" s="1"/>
      <x:c r="Q145" s="1"/>
      <x:c r="R145" s="1"/>
      <x:c r="S145" s="1"/>
      <x:c r="T145" s="1"/>
      <x:c r="U145" s="1"/>
      <x:c r="V145" s="1"/>
      <x:c r="W145" s="1"/>
      <x:c r="X145" s="1"/>
      <x:c r="Y145" s="1"/>
      <x:c r="Z145" s="48" t="str">
        <x:f>IF(I145="보유",COUNTIF($I$5:I145,"보유"),"")</x:f>
      </x:c>
      <x:c r="AA145" s="1"/>
      <x:c r="AB145" s="1"/>
      <x:c r="AC145" s="1"/>
      <x:c r="AD145" s="1"/>
      <x:c r="AE145" s="1"/>
    </x:row>
    <x:row r="146" ht="18" customHeight="1">
      <x:c r="A146" s="41"/>
      <x:c r="B146" s="38"/>
      <x:c r="C146" s="38"/>
      <x:c r="D146" s="41"/>
      <x:c r="E146" s="41"/>
      <x:c r="F146" s="44"/>
      <x:c r="G146" s="41"/>
      <x:c r="H146" s="41"/>
      <x:c r="I146" s="41"/>
      <x:c r="J146" s="38"/>
      <x:c r="K146" s="1"/>
      <x:c r="L146" s="1"/>
      <x:c r="M146" s="1"/>
      <x:c r="N146" s="1"/>
      <x:c r="O146" s="1"/>
      <x:c r="P146" s="1"/>
      <x:c r="Q146" s="1"/>
      <x:c r="R146" s="1"/>
      <x:c r="S146" s="1"/>
      <x:c r="T146" s="1"/>
      <x:c r="U146" s="1"/>
      <x:c r="V146" s="1"/>
      <x:c r="W146" s="1"/>
      <x:c r="X146" s="1"/>
      <x:c r="Y146" s="1"/>
      <x:c r="Z146" s="48" t="str">
        <x:f>IF(I146="보유",COUNTIF($I$5:I146,"보유"),"")</x:f>
      </x:c>
      <x:c r="AA146" s="1"/>
      <x:c r="AB146" s="1"/>
      <x:c r="AC146" s="1"/>
      <x:c r="AD146" s="1"/>
      <x:c r="AE146" s="1"/>
    </x:row>
    <x:row r="147" ht="18" customHeight="1">
      <x:c r="A147" s="41"/>
      <x:c r="B147" s="38"/>
      <x:c r="C147" s="38"/>
      <x:c r="D147" s="41"/>
      <x:c r="E147" s="41"/>
      <x:c r="F147" s="44"/>
      <x:c r="G147" s="41"/>
      <x:c r="H147" s="41"/>
      <x:c r="I147" s="41"/>
      <x:c r="J147" s="38"/>
      <x:c r="K147" s="1"/>
      <x:c r="L147" s="1"/>
      <x:c r="M147" s="1"/>
      <x:c r="N147" s="1"/>
      <x:c r="O147" s="1"/>
      <x:c r="P147" s="1"/>
      <x:c r="Q147" s="1"/>
      <x:c r="R147" s="1"/>
      <x:c r="S147" s="1"/>
      <x:c r="T147" s="1"/>
      <x:c r="U147" s="1"/>
      <x:c r="V147" s="1"/>
      <x:c r="W147" s="1"/>
      <x:c r="X147" s="1"/>
      <x:c r="Y147" s="1"/>
      <x:c r="Z147" s="48" t="str">
        <x:f>IF(I147="보유",COUNTIF($I$5:I147,"보유"),"")</x:f>
      </x:c>
      <x:c r="AA147" s="1"/>
      <x:c r="AB147" s="1"/>
      <x:c r="AC147" s="1"/>
      <x:c r="AD147" s="1"/>
      <x:c r="AE147" s="1"/>
    </x:row>
    <x:row r="148" ht="18" customHeight="1">
      <x:c r="A148" s="41"/>
      <x:c r="B148" s="38"/>
      <x:c r="C148" s="38"/>
      <x:c r="D148" s="41"/>
      <x:c r="E148" s="41"/>
      <x:c r="F148" s="44"/>
      <x:c r="G148" s="41"/>
      <x:c r="H148" s="41"/>
      <x:c r="I148" s="41"/>
      <x:c r="J148" s="38"/>
      <x:c r="K148" s="1"/>
      <x:c r="L148" s="1"/>
      <x:c r="M148" s="1"/>
      <x:c r="N148" s="1"/>
      <x:c r="O148" s="1"/>
      <x:c r="P148" s="1"/>
      <x:c r="Q148" s="1"/>
      <x:c r="R148" s="1"/>
      <x:c r="S148" s="1"/>
      <x:c r="T148" s="1"/>
      <x:c r="U148" s="1"/>
      <x:c r="V148" s="1"/>
      <x:c r="W148" s="1"/>
      <x:c r="X148" s="1"/>
      <x:c r="Y148" s="1"/>
      <x:c r="Z148" s="48" t="str">
        <x:f>IF(I148="보유",COUNTIF($I$5:I148,"보유"),"")</x:f>
      </x:c>
      <x:c r="AA148" s="1"/>
      <x:c r="AB148" s="1"/>
      <x:c r="AC148" s="1"/>
      <x:c r="AD148" s="1"/>
      <x:c r="AE148" s="1"/>
    </x:row>
    <x:row r="149" ht="18" customHeight="1">
      <x:c r="A149" s="41"/>
      <x:c r="B149" s="38"/>
      <x:c r="C149" s="38"/>
      <x:c r="D149" s="41"/>
      <x:c r="E149" s="41"/>
      <x:c r="F149" s="44"/>
      <x:c r="G149" s="41"/>
      <x:c r="H149" s="41"/>
      <x:c r="I149" s="41"/>
      <x:c r="J149" s="38"/>
      <x:c r="K149" s="1"/>
      <x:c r="L149" s="1"/>
      <x:c r="M149" s="1"/>
      <x:c r="N149" s="1"/>
      <x:c r="O149" s="1"/>
      <x:c r="P149" s="1"/>
      <x:c r="Q149" s="1"/>
      <x:c r="R149" s="1"/>
      <x:c r="S149" s="1"/>
      <x:c r="T149" s="1"/>
      <x:c r="U149" s="1"/>
      <x:c r="V149" s="1"/>
      <x:c r="W149" s="1"/>
      <x:c r="X149" s="1"/>
      <x:c r="Y149" s="1"/>
      <x:c r="Z149" s="48" t="str">
        <x:f>IF(I149="보유",COUNTIF($I$5:I149,"보유"),"")</x:f>
      </x:c>
      <x:c r="AA149" s="1"/>
      <x:c r="AB149" s="1"/>
      <x:c r="AC149" s="1"/>
      <x:c r="AD149" s="1"/>
      <x:c r="AE149" s="1"/>
    </x:row>
    <x:row r="150" ht="18" customHeight="1">
      <x:c r="A150" s="41"/>
      <x:c r="B150" s="38"/>
      <x:c r="C150" s="38"/>
      <x:c r="D150" s="41"/>
      <x:c r="E150" s="41"/>
      <x:c r="F150" s="44"/>
      <x:c r="G150" s="41"/>
      <x:c r="H150" s="41"/>
      <x:c r="I150" s="41"/>
      <x:c r="J150" s="38"/>
      <x:c r="K150" s="1"/>
      <x:c r="L150" s="1"/>
      <x:c r="M150" s="1"/>
      <x:c r="N150" s="1"/>
      <x:c r="O150" s="1"/>
      <x:c r="P150" s="1"/>
      <x:c r="Q150" s="1"/>
      <x:c r="R150" s="1"/>
      <x:c r="S150" s="1"/>
      <x:c r="T150" s="1"/>
      <x:c r="U150" s="1"/>
      <x:c r="V150" s="1"/>
      <x:c r="W150" s="1"/>
      <x:c r="X150" s="1"/>
      <x:c r="Y150" s="1"/>
      <x:c r="Z150" s="48" t="str">
        <x:f>IF(I150="보유",COUNTIF($I$5:I150,"보유"),"")</x:f>
      </x:c>
      <x:c r="AA150" s="1"/>
      <x:c r="AB150" s="1"/>
      <x:c r="AC150" s="1"/>
      <x:c r="AD150" s="1"/>
      <x:c r="AE150" s="1"/>
    </x:row>
    <x:row r="151" ht="18" customHeight="1">
      <x:c r="A151" s="41"/>
      <x:c r="B151" s="38"/>
      <x:c r="C151" s="38"/>
      <x:c r="D151" s="41"/>
      <x:c r="E151" s="41"/>
      <x:c r="F151" s="44"/>
      <x:c r="G151" s="41"/>
      <x:c r="H151" s="41"/>
      <x:c r="I151" s="41"/>
      <x:c r="J151" s="38"/>
      <x:c r="K151" s="1"/>
      <x:c r="L151" s="1"/>
      <x:c r="M151" s="1"/>
      <x:c r="N151" s="1"/>
      <x:c r="O151" s="1"/>
      <x:c r="P151" s="1"/>
      <x:c r="Q151" s="1"/>
      <x:c r="R151" s="1"/>
      <x:c r="S151" s="1"/>
      <x:c r="T151" s="1"/>
      <x:c r="U151" s="1"/>
      <x:c r="V151" s="1"/>
      <x:c r="W151" s="1"/>
      <x:c r="X151" s="1"/>
      <x:c r="Y151" s="1"/>
      <x:c r="Z151" s="48" t="str">
        <x:f>IF(I151="보유",COUNTIF($I$5:I151,"보유"),"")</x:f>
      </x:c>
      <x:c r="AA151" s="1"/>
      <x:c r="AB151" s="1"/>
      <x:c r="AC151" s="1"/>
      <x:c r="AD151" s="1"/>
      <x:c r="AE151" s="1"/>
    </x:row>
    <x:row r="152" ht="18" customHeight="1">
      <x:c r="A152" s="41"/>
      <x:c r="B152" s="38"/>
      <x:c r="C152" s="38"/>
      <x:c r="D152" s="41"/>
      <x:c r="E152" s="41"/>
      <x:c r="F152" s="44"/>
      <x:c r="G152" s="41"/>
      <x:c r="H152" s="41"/>
      <x:c r="I152" s="41"/>
      <x:c r="J152" s="38"/>
      <x:c r="K152" s="1"/>
      <x:c r="L152" s="1"/>
      <x:c r="M152" s="1"/>
      <x:c r="N152" s="1"/>
      <x:c r="O152" s="1"/>
      <x:c r="P152" s="1"/>
      <x:c r="Q152" s="1"/>
      <x:c r="R152" s="1"/>
      <x:c r="S152" s="1"/>
      <x:c r="T152" s="1"/>
      <x:c r="U152" s="1"/>
      <x:c r="V152" s="1"/>
      <x:c r="W152" s="1"/>
      <x:c r="X152" s="1"/>
      <x:c r="Y152" s="1"/>
      <x:c r="Z152" s="48" t="str">
        <x:f>IF(I152="보유",COUNTIF($I$5:I152,"보유"),"")</x:f>
      </x:c>
      <x:c r="AA152" s="1"/>
      <x:c r="AB152" s="1"/>
      <x:c r="AC152" s="1"/>
      <x:c r="AD152" s="1"/>
      <x:c r="AE152" s="1"/>
    </x:row>
    <x:row r="153" ht="18" customHeight="1">
      <x:c r="A153" s="41"/>
      <x:c r="B153" s="38"/>
      <x:c r="C153" s="38"/>
      <x:c r="D153" s="41"/>
      <x:c r="E153" s="41"/>
      <x:c r="F153" s="44"/>
      <x:c r="G153" s="41"/>
      <x:c r="H153" s="41"/>
      <x:c r="I153" s="41"/>
      <x:c r="J153" s="38"/>
      <x:c r="K153" s="1"/>
      <x:c r="L153" s="1"/>
      <x:c r="M153" s="1"/>
      <x:c r="N153" s="1"/>
      <x:c r="O153" s="1"/>
      <x:c r="P153" s="1"/>
      <x:c r="Q153" s="1"/>
      <x:c r="R153" s="1"/>
      <x:c r="S153" s="1"/>
      <x:c r="T153" s="1"/>
      <x:c r="U153" s="1"/>
      <x:c r="V153" s="1"/>
      <x:c r="W153" s="1"/>
      <x:c r="X153" s="1"/>
      <x:c r="Y153" s="1"/>
      <x:c r="Z153" s="48" t="str">
        <x:f>IF(I153="보유",COUNTIF($I$5:I153,"보유"),"")</x:f>
      </x:c>
      <x:c r="AA153" s="1"/>
      <x:c r="AB153" s="1"/>
      <x:c r="AC153" s="1"/>
      <x:c r="AD153" s="1"/>
      <x:c r="AE153" s="1"/>
    </x:row>
    <x:row r="154" ht="18" customHeight="1">
      <x:c r="A154" s="41"/>
      <x:c r="B154" s="38"/>
      <x:c r="C154" s="38"/>
      <x:c r="D154" s="41"/>
      <x:c r="E154" s="41"/>
      <x:c r="F154" s="44"/>
      <x:c r="G154" s="41"/>
      <x:c r="H154" s="41"/>
      <x:c r="I154" s="41"/>
      <x:c r="J154" s="38"/>
      <x:c r="K154" s="1"/>
      <x:c r="L154" s="1"/>
      <x:c r="M154" s="1"/>
      <x:c r="N154" s="1"/>
      <x:c r="O154" s="1"/>
      <x:c r="P154" s="1"/>
      <x:c r="Q154" s="1"/>
      <x:c r="R154" s="1"/>
      <x:c r="S154" s="1"/>
      <x:c r="T154" s="1"/>
      <x:c r="U154" s="1"/>
      <x:c r="V154" s="1"/>
      <x:c r="W154" s="1"/>
      <x:c r="X154" s="1"/>
      <x:c r="Y154" s="1"/>
      <x:c r="Z154" s="48" t="str">
        <x:f>IF(I154="보유",COUNTIF($I$5:I154,"보유"),"")</x:f>
      </x:c>
      <x:c r="AA154" s="1"/>
      <x:c r="AB154" s="1"/>
      <x:c r="AC154" s="1"/>
      <x:c r="AD154" s="1"/>
      <x:c r="AE154" s="1"/>
    </x:row>
    <x:row r="155" ht="18" customHeight="1">
      <x:c r="A155" s="41"/>
      <x:c r="B155" s="38"/>
      <x:c r="C155" s="38"/>
      <x:c r="D155" s="41"/>
      <x:c r="E155" s="41"/>
      <x:c r="F155" s="44"/>
      <x:c r="G155" s="41"/>
      <x:c r="H155" s="41"/>
      <x:c r="I155" s="41"/>
      <x:c r="J155" s="38"/>
      <x:c r="K155" s="1"/>
      <x:c r="L155" s="1"/>
      <x:c r="M155" s="1"/>
      <x:c r="N155" s="1"/>
      <x:c r="O155" s="1"/>
      <x:c r="P155" s="1"/>
      <x:c r="Q155" s="1"/>
      <x:c r="R155" s="1"/>
      <x:c r="S155" s="1"/>
      <x:c r="T155" s="1"/>
      <x:c r="U155" s="1"/>
      <x:c r="V155" s="1"/>
      <x:c r="W155" s="1"/>
      <x:c r="X155" s="1"/>
      <x:c r="Y155" s="1"/>
      <x:c r="Z155" s="48" t="str">
        <x:f>IF(I155="보유",COUNTIF($I$5:I155,"보유"),"")</x:f>
      </x:c>
      <x:c r="AA155" s="1"/>
      <x:c r="AB155" s="1"/>
      <x:c r="AC155" s="1"/>
      <x:c r="AD155" s="1"/>
      <x:c r="AE155" s="1"/>
    </x:row>
    <x:row r="156" ht="18" customHeight="1">
      <x:c r="A156" s="41"/>
      <x:c r="B156" s="38"/>
      <x:c r="C156" s="38"/>
      <x:c r="D156" s="41"/>
      <x:c r="E156" s="41"/>
      <x:c r="F156" s="44"/>
      <x:c r="G156" s="41"/>
      <x:c r="H156" s="41"/>
      <x:c r="I156" s="41"/>
      <x:c r="J156" s="38"/>
      <x:c r="K156" s="1"/>
      <x:c r="L156" s="1"/>
      <x:c r="M156" s="1"/>
      <x:c r="N156" s="1"/>
      <x:c r="O156" s="1"/>
      <x:c r="P156" s="1"/>
      <x:c r="Q156" s="1"/>
      <x:c r="R156" s="1"/>
      <x:c r="S156" s="1"/>
      <x:c r="T156" s="1"/>
      <x:c r="U156" s="1"/>
      <x:c r="V156" s="1"/>
      <x:c r="W156" s="1"/>
      <x:c r="X156" s="1"/>
      <x:c r="Y156" s="1"/>
      <x:c r="Z156" s="48" t="str">
        <x:f>IF(I156="보유",COUNTIF($I$5:I156,"보유"),"")</x:f>
      </x:c>
      <x:c r="AA156" s="1"/>
      <x:c r="AB156" s="1"/>
      <x:c r="AC156" s="1"/>
      <x:c r="AD156" s="1"/>
      <x:c r="AE156" s="1"/>
    </x:row>
    <x:row r="157" ht="18" customHeight="1">
      <x:c r="A157" s="41"/>
      <x:c r="B157" s="38"/>
      <x:c r="C157" s="38"/>
      <x:c r="D157" s="41"/>
      <x:c r="E157" s="41"/>
      <x:c r="F157" s="44"/>
      <x:c r="G157" s="41"/>
      <x:c r="H157" s="41"/>
      <x:c r="I157" s="41"/>
      <x:c r="J157" s="38"/>
      <x:c r="K157" s="1"/>
      <x:c r="L157" s="1"/>
      <x:c r="M157" s="1"/>
      <x:c r="N157" s="1"/>
      <x:c r="O157" s="1"/>
      <x:c r="P157" s="1"/>
      <x:c r="Q157" s="1"/>
      <x:c r="R157" s="1"/>
      <x:c r="S157" s="1"/>
      <x:c r="T157" s="1"/>
      <x:c r="U157" s="1"/>
      <x:c r="V157" s="1"/>
      <x:c r="W157" s="1"/>
      <x:c r="X157" s="1"/>
      <x:c r="Y157" s="1"/>
      <x:c r="Z157" s="48" t="str">
        <x:f>IF(I157="보유",COUNTIF($I$5:I157,"보유"),"")</x:f>
      </x:c>
      <x:c r="AA157" s="1"/>
      <x:c r="AB157" s="1"/>
      <x:c r="AC157" s="1"/>
      <x:c r="AD157" s="1"/>
      <x:c r="AE157" s="1"/>
    </x:row>
    <x:row r="158" ht="18" customHeight="1">
      <x:c r="A158" s="41"/>
      <x:c r="B158" s="38"/>
      <x:c r="C158" s="38"/>
      <x:c r="D158" s="41"/>
      <x:c r="E158" s="41"/>
      <x:c r="F158" s="44"/>
      <x:c r="G158" s="41"/>
      <x:c r="H158" s="41"/>
      <x:c r="I158" s="41"/>
      <x:c r="J158" s="38"/>
      <x:c r="K158" s="1"/>
      <x:c r="L158" s="1"/>
      <x:c r="M158" s="1"/>
      <x:c r="N158" s="1"/>
      <x:c r="O158" s="1"/>
      <x:c r="P158" s="1"/>
      <x:c r="Q158" s="1"/>
      <x:c r="R158" s="1"/>
      <x:c r="S158" s="1"/>
      <x:c r="T158" s="1"/>
      <x:c r="U158" s="1"/>
      <x:c r="V158" s="1"/>
      <x:c r="W158" s="1"/>
      <x:c r="X158" s="1"/>
      <x:c r="Y158" s="1"/>
      <x:c r="Z158" s="48" t="str">
        <x:f>IF(I158="보유",COUNTIF($I$5:I158,"보유"),"")</x:f>
      </x:c>
      <x:c r="AA158" s="1"/>
      <x:c r="AB158" s="1"/>
      <x:c r="AC158" s="1"/>
      <x:c r="AD158" s="1"/>
      <x:c r="AE158" s="1"/>
    </x:row>
    <x:row r="159" ht="18" customHeight="1">
      <x:c r="A159" s="41"/>
      <x:c r="B159" s="38"/>
      <x:c r="C159" s="38"/>
      <x:c r="D159" s="41"/>
      <x:c r="E159" s="41"/>
      <x:c r="F159" s="44"/>
      <x:c r="G159" s="41"/>
      <x:c r="H159" s="41"/>
      <x:c r="I159" s="41"/>
      <x:c r="J159" s="38"/>
      <x:c r="K159" s="1"/>
      <x:c r="L159" s="1"/>
      <x:c r="M159" s="1"/>
      <x:c r="N159" s="1"/>
      <x:c r="O159" s="1"/>
      <x:c r="P159" s="1"/>
      <x:c r="Q159" s="1"/>
      <x:c r="R159" s="1"/>
      <x:c r="S159" s="1"/>
      <x:c r="T159" s="1"/>
      <x:c r="U159" s="1"/>
      <x:c r="V159" s="1"/>
      <x:c r="W159" s="1"/>
      <x:c r="X159" s="1"/>
      <x:c r="Y159" s="1"/>
      <x:c r="Z159" s="48" t="str">
        <x:f>IF(I159="보유",COUNTIF($I$5:I159,"보유"),"")</x:f>
      </x:c>
      <x:c r="AA159" s="1"/>
      <x:c r="AB159" s="1"/>
      <x:c r="AC159" s="1"/>
      <x:c r="AD159" s="1"/>
      <x:c r="AE159" s="1"/>
    </x:row>
    <x:row r="160" ht="18" customHeight="1">
      <x:c r="A160" s="41"/>
      <x:c r="B160" s="38"/>
      <x:c r="C160" s="38"/>
      <x:c r="D160" s="41"/>
      <x:c r="E160" s="41"/>
      <x:c r="F160" s="44"/>
      <x:c r="G160" s="41"/>
      <x:c r="H160" s="41"/>
      <x:c r="I160" s="41"/>
      <x:c r="J160" s="38"/>
      <x:c r="K160" s="1"/>
      <x:c r="L160" s="1"/>
      <x:c r="M160" s="1"/>
      <x:c r="N160" s="1"/>
      <x:c r="O160" s="1"/>
      <x:c r="P160" s="1"/>
      <x:c r="Q160" s="1"/>
      <x:c r="R160" s="1"/>
      <x:c r="S160" s="1"/>
      <x:c r="T160" s="1"/>
      <x:c r="U160" s="1"/>
      <x:c r="V160" s="1"/>
      <x:c r="W160" s="1"/>
      <x:c r="X160" s="1"/>
      <x:c r="Y160" s="1"/>
      <x:c r="Z160" s="48" t="str">
        <x:f>IF(I160="보유",COUNTIF($I$5:I160,"보유"),"")</x:f>
      </x:c>
      <x:c r="AA160" s="1"/>
      <x:c r="AB160" s="1"/>
      <x:c r="AC160" s="1"/>
      <x:c r="AD160" s="1"/>
      <x:c r="AE160" s="1"/>
    </x:row>
    <x:row r="161" ht="18" customHeight="1">
      <x:c r="A161" s="41"/>
      <x:c r="B161" s="38"/>
      <x:c r="C161" s="38"/>
      <x:c r="D161" s="41"/>
      <x:c r="E161" s="41"/>
      <x:c r="F161" s="44"/>
      <x:c r="G161" s="41"/>
      <x:c r="H161" s="41"/>
      <x:c r="I161" s="41"/>
      <x:c r="J161" s="38"/>
      <x:c r="K161" s="1"/>
      <x:c r="L161" s="1"/>
      <x:c r="M161" s="1"/>
      <x:c r="N161" s="1"/>
      <x:c r="O161" s="1"/>
      <x:c r="P161" s="1"/>
      <x:c r="Q161" s="1"/>
      <x:c r="R161" s="1"/>
      <x:c r="S161" s="1"/>
      <x:c r="T161" s="1"/>
      <x:c r="U161" s="1"/>
      <x:c r="V161" s="1"/>
      <x:c r="W161" s="1"/>
      <x:c r="X161" s="1"/>
      <x:c r="Y161" s="1"/>
      <x:c r="Z161" s="48" t="str">
        <x:f>IF(I161="보유",COUNTIF($I$5:I161,"보유"),"")</x:f>
      </x:c>
      <x:c r="AA161" s="1"/>
      <x:c r="AB161" s="1"/>
      <x:c r="AC161" s="1"/>
      <x:c r="AD161" s="1"/>
      <x:c r="AE161" s="1"/>
    </x:row>
    <x:row r="162" ht="18" customHeight="1">
      <x:c r="A162" s="41"/>
      <x:c r="B162" s="38"/>
      <x:c r="C162" s="38"/>
      <x:c r="D162" s="41"/>
      <x:c r="E162" s="41"/>
      <x:c r="F162" s="44"/>
      <x:c r="G162" s="41"/>
      <x:c r="H162" s="41"/>
      <x:c r="I162" s="41"/>
      <x:c r="J162" s="38"/>
      <x:c r="K162" s="1"/>
      <x:c r="L162" s="1"/>
      <x:c r="M162" s="1"/>
      <x:c r="N162" s="1"/>
      <x:c r="O162" s="1"/>
      <x:c r="P162" s="1"/>
      <x:c r="Q162" s="1"/>
      <x:c r="R162" s="1"/>
      <x:c r="S162" s="1"/>
      <x:c r="T162" s="1"/>
      <x:c r="U162" s="1"/>
      <x:c r="V162" s="1"/>
      <x:c r="W162" s="1"/>
      <x:c r="X162" s="1"/>
      <x:c r="Y162" s="1"/>
      <x:c r="Z162" s="48" t="str">
        <x:f>IF(I162="보유",COUNTIF($I$5:I162,"보유"),"")</x:f>
      </x:c>
      <x:c r="AA162" s="1"/>
      <x:c r="AB162" s="1"/>
      <x:c r="AC162" s="1"/>
      <x:c r="AD162" s="1"/>
      <x:c r="AE162" s="1"/>
    </x:row>
    <x:row r="163" ht="18" customHeight="1">
      <x:c r="A163" s="41"/>
      <x:c r="B163" s="38"/>
      <x:c r="C163" s="38"/>
      <x:c r="D163" s="41"/>
      <x:c r="E163" s="41"/>
      <x:c r="F163" s="44"/>
      <x:c r="G163" s="41"/>
      <x:c r="H163" s="41"/>
      <x:c r="I163" s="41"/>
      <x:c r="J163" s="38"/>
      <x:c r="K163" s="1"/>
      <x:c r="L163" s="1"/>
      <x:c r="M163" s="1"/>
      <x:c r="N163" s="1"/>
      <x:c r="O163" s="1"/>
      <x:c r="P163" s="1"/>
      <x:c r="Q163" s="1"/>
      <x:c r="R163" s="1"/>
      <x:c r="S163" s="1"/>
      <x:c r="T163" s="1"/>
      <x:c r="U163" s="1"/>
      <x:c r="V163" s="1"/>
      <x:c r="W163" s="1"/>
      <x:c r="X163" s="1"/>
      <x:c r="Y163" s="1"/>
      <x:c r="Z163" s="48" t="str">
        <x:f>IF(I163="보유",COUNTIF($I$5:I163,"보유"),"")</x:f>
      </x:c>
      <x:c r="AA163" s="1"/>
      <x:c r="AB163" s="1"/>
      <x:c r="AC163" s="1"/>
      <x:c r="AD163" s="1"/>
      <x:c r="AE163" s="1"/>
    </x:row>
    <x:row r="164" ht="18" customHeight="1">
      <x:c r="A164" s="41"/>
      <x:c r="B164" s="38"/>
      <x:c r="C164" s="38"/>
      <x:c r="D164" s="41"/>
      <x:c r="E164" s="41"/>
      <x:c r="F164" s="44"/>
      <x:c r="G164" s="41"/>
      <x:c r="H164" s="41"/>
      <x:c r="I164" s="41"/>
      <x:c r="J164" s="38"/>
      <x:c r="K164" s="1"/>
      <x:c r="L164" s="1"/>
      <x:c r="M164" s="1"/>
      <x:c r="N164" s="1"/>
      <x:c r="O164" s="1"/>
      <x:c r="P164" s="1"/>
      <x:c r="Q164" s="1"/>
      <x:c r="R164" s="1"/>
      <x:c r="S164" s="1"/>
      <x:c r="T164" s="1"/>
      <x:c r="U164" s="1"/>
      <x:c r="V164" s="1"/>
      <x:c r="W164" s="1"/>
      <x:c r="X164" s="1"/>
      <x:c r="Y164" s="1"/>
      <x:c r="Z164" s="48" t="str">
        <x:f>IF(I164="보유",COUNTIF($I$5:I164,"보유"),"")</x:f>
      </x:c>
      <x:c r="AA164" s="1"/>
      <x:c r="AB164" s="1"/>
      <x:c r="AC164" s="1"/>
      <x:c r="AD164" s="1"/>
      <x:c r="AE164" s="1"/>
    </x:row>
    <x:row r="165" ht="18" customHeight="1">
      <x:c r="A165" s="41"/>
      <x:c r="B165" s="38"/>
      <x:c r="C165" s="38"/>
      <x:c r="D165" s="41"/>
      <x:c r="E165" s="41"/>
      <x:c r="F165" s="44"/>
      <x:c r="G165" s="41"/>
      <x:c r="H165" s="41"/>
      <x:c r="I165" s="41"/>
      <x:c r="J165" s="38"/>
      <x:c r="K165" s="1"/>
      <x:c r="L165" s="1"/>
      <x:c r="M165" s="1"/>
      <x:c r="N165" s="1"/>
      <x:c r="O165" s="1"/>
      <x:c r="P165" s="1"/>
      <x:c r="Q165" s="1"/>
      <x:c r="R165" s="1"/>
      <x:c r="S165" s="1"/>
      <x:c r="T165" s="1"/>
      <x:c r="U165" s="1"/>
      <x:c r="V165" s="1"/>
      <x:c r="W165" s="1"/>
      <x:c r="X165" s="1"/>
      <x:c r="Y165" s="1"/>
      <x:c r="Z165" s="48" t="str">
        <x:f>IF(I165="보유",COUNTIF($I$5:I165,"보유"),"")</x:f>
      </x:c>
      <x:c r="AA165" s="1"/>
      <x:c r="AB165" s="1"/>
      <x:c r="AC165" s="1"/>
      <x:c r="AD165" s="1"/>
      <x:c r="AE165" s="1"/>
    </x:row>
    <x:row r="166" ht="18" customHeight="1">
      <x:c r="A166" s="41"/>
      <x:c r="B166" s="38"/>
      <x:c r="C166" s="38"/>
      <x:c r="D166" s="41"/>
      <x:c r="E166" s="41"/>
      <x:c r="F166" s="44"/>
      <x:c r="G166" s="41"/>
      <x:c r="H166" s="41"/>
      <x:c r="I166" s="41"/>
      <x:c r="J166" s="38"/>
      <x:c r="K166" s="1"/>
      <x:c r="L166" s="1"/>
      <x:c r="M166" s="1"/>
      <x:c r="N166" s="1"/>
      <x:c r="O166" s="1"/>
      <x:c r="P166" s="1"/>
      <x:c r="Q166" s="1"/>
      <x:c r="R166" s="1"/>
      <x:c r="S166" s="1"/>
      <x:c r="T166" s="1"/>
      <x:c r="U166" s="1"/>
      <x:c r="V166" s="1"/>
      <x:c r="W166" s="1"/>
      <x:c r="X166" s="1"/>
      <x:c r="Y166" s="1"/>
      <x:c r="Z166" s="48" t="str">
        <x:f>IF(I166="보유",COUNTIF($I$5:I166,"보유"),"")</x:f>
      </x:c>
      <x:c r="AA166" s="1"/>
      <x:c r="AB166" s="1"/>
      <x:c r="AC166" s="1"/>
      <x:c r="AD166" s="1"/>
      <x:c r="AE166" s="1"/>
    </x:row>
    <x:row r="167" ht="18" customHeight="1">
      <x:c r="A167" s="41"/>
      <x:c r="B167" s="38"/>
      <x:c r="C167" s="38"/>
      <x:c r="D167" s="41"/>
      <x:c r="E167" s="41"/>
      <x:c r="F167" s="44"/>
      <x:c r="G167" s="41"/>
      <x:c r="H167" s="41"/>
      <x:c r="I167" s="41"/>
      <x:c r="J167" s="38"/>
      <x:c r="K167" s="1"/>
      <x:c r="L167" s="1"/>
      <x:c r="M167" s="1"/>
      <x:c r="N167" s="1"/>
      <x:c r="O167" s="1"/>
      <x:c r="P167" s="1"/>
      <x:c r="Q167" s="1"/>
      <x:c r="R167" s="1"/>
      <x:c r="S167" s="1"/>
      <x:c r="T167" s="1"/>
      <x:c r="U167" s="1"/>
      <x:c r="V167" s="1"/>
      <x:c r="W167" s="1"/>
      <x:c r="X167" s="1"/>
      <x:c r="Y167" s="1"/>
      <x:c r="Z167" s="48" t="str">
        <x:f>IF(I167="보유",COUNTIF($I$5:I167,"보유"),"")</x:f>
      </x:c>
      <x:c r="AA167" s="1"/>
      <x:c r="AB167" s="1"/>
      <x:c r="AC167" s="1"/>
      <x:c r="AD167" s="1"/>
      <x:c r="AE167" s="1"/>
    </x:row>
    <x:row r="168" ht="18" customHeight="1">
      <x:c r="A168" s="41"/>
      <x:c r="B168" s="38"/>
      <x:c r="C168" s="38"/>
      <x:c r="D168" s="41"/>
      <x:c r="E168" s="41"/>
      <x:c r="F168" s="44"/>
      <x:c r="G168" s="41"/>
      <x:c r="H168" s="41"/>
      <x:c r="I168" s="41"/>
      <x:c r="J168" s="38"/>
      <x:c r="K168" s="1"/>
      <x:c r="L168" s="1"/>
      <x:c r="M168" s="1"/>
      <x:c r="N168" s="1"/>
      <x:c r="O168" s="1"/>
      <x:c r="P168" s="1"/>
      <x:c r="Q168" s="1"/>
      <x:c r="R168" s="1"/>
      <x:c r="S168" s="1"/>
      <x:c r="T168" s="1"/>
      <x:c r="U168" s="1"/>
      <x:c r="V168" s="1"/>
      <x:c r="W168" s="1"/>
      <x:c r="X168" s="1"/>
      <x:c r="Y168" s="1"/>
      <x:c r="Z168" s="48" t="str">
        <x:f>IF(I168="보유",COUNTIF($I$5:I168,"보유"),"")</x:f>
      </x:c>
      <x:c r="AA168" s="1"/>
      <x:c r="AB168" s="1"/>
      <x:c r="AC168" s="1"/>
      <x:c r="AD168" s="1"/>
      <x:c r="AE168" s="1"/>
    </x:row>
    <x:row r="169" ht="18" customHeight="1">
      <x:c r="A169" s="41"/>
      <x:c r="B169" s="38"/>
      <x:c r="C169" s="38"/>
      <x:c r="D169" s="41"/>
      <x:c r="E169" s="41"/>
      <x:c r="F169" s="44"/>
      <x:c r="G169" s="41"/>
      <x:c r="H169" s="41"/>
      <x:c r="I169" s="41"/>
      <x:c r="J169" s="38"/>
      <x:c r="K169" s="1"/>
      <x:c r="L169" s="1"/>
      <x:c r="M169" s="1"/>
      <x:c r="N169" s="1"/>
      <x:c r="O169" s="1"/>
      <x:c r="P169" s="1"/>
      <x:c r="Q169" s="1"/>
      <x:c r="R169" s="1"/>
      <x:c r="S169" s="1"/>
      <x:c r="T169" s="1"/>
      <x:c r="U169" s="1"/>
      <x:c r="V169" s="1"/>
      <x:c r="W169" s="1"/>
      <x:c r="X169" s="1"/>
      <x:c r="Y169" s="1"/>
      <x:c r="Z169" s="48" t="str">
        <x:f>IF(I169="보유",COUNTIF($I$5:I169,"보유"),"")</x:f>
      </x:c>
      <x:c r="AA169" s="1"/>
      <x:c r="AB169" s="1"/>
      <x:c r="AC169" s="1"/>
      <x:c r="AD169" s="1"/>
      <x:c r="AE169" s="1"/>
    </x:row>
    <x:row r="170" ht="18" customHeight="1">
      <x:c r="A170" s="41"/>
      <x:c r="B170" s="38"/>
      <x:c r="C170" s="38"/>
      <x:c r="D170" s="41"/>
      <x:c r="E170" s="41"/>
      <x:c r="F170" s="44"/>
      <x:c r="G170" s="41"/>
      <x:c r="H170" s="41"/>
      <x:c r="I170" s="41"/>
      <x:c r="J170" s="38"/>
      <x:c r="K170" s="1"/>
      <x:c r="L170" s="1"/>
      <x:c r="M170" s="1"/>
      <x:c r="N170" s="1"/>
      <x:c r="O170" s="1"/>
      <x:c r="P170" s="1"/>
      <x:c r="Q170" s="1"/>
      <x:c r="R170" s="1"/>
      <x:c r="S170" s="1"/>
      <x:c r="T170" s="1"/>
      <x:c r="U170" s="1"/>
      <x:c r="V170" s="1"/>
      <x:c r="W170" s="1"/>
      <x:c r="X170" s="1"/>
      <x:c r="Y170" s="1"/>
      <x:c r="Z170" s="48" t="str">
        <x:f>IF(I170="보유",COUNTIF($I$5:I170,"보유"),"")</x:f>
      </x:c>
      <x:c r="AA170" s="1"/>
      <x:c r="AB170" s="1"/>
      <x:c r="AC170" s="1"/>
      <x:c r="AD170" s="1"/>
      <x:c r="AE170" s="1"/>
    </x:row>
    <x:row r="171" ht="18" customHeight="1">
      <x:c r="A171" s="41"/>
      <x:c r="B171" s="38"/>
      <x:c r="C171" s="38"/>
      <x:c r="D171" s="41"/>
      <x:c r="E171" s="41"/>
      <x:c r="F171" s="44"/>
      <x:c r="G171" s="41"/>
      <x:c r="H171" s="41"/>
      <x:c r="I171" s="41"/>
      <x:c r="J171" s="38"/>
      <x:c r="K171" s="1"/>
      <x:c r="L171" s="1"/>
      <x:c r="M171" s="1"/>
      <x:c r="N171" s="1"/>
      <x:c r="O171" s="1"/>
      <x:c r="P171" s="1"/>
      <x:c r="Q171" s="1"/>
      <x:c r="R171" s="1"/>
      <x:c r="S171" s="1"/>
      <x:c r="T171" s="1"/>
      <x:c r="U171" s="1"/>
      <x:c r="V171" s="1"/>
      <x:c r="W171" s="1"/>
      <x:c r="X171" s="1"/>
      <x:c r="Y171" s="1"/>
      <x:c r="Z171" s="48" t="str">
        <x:f>IF(I171="보유",COUNTIF($I$5:I171,"보유"),"")</x:f>
      </x:c>
      <x:c r="AA171" s="1"/>
      <x:c r="AB171" s="1"/>
      <x:c r="AC171" s="1"/>
      <x:c r="AD171" s="1"/>
      <x:c r="AE171" s="1"/>
    </x:row>
    <x:row r="172" ht="18" customHeight="1">
      <x:c r="A172" s="41"/>
      <x:c r="B172" s="38"/>
      <x:c r="C172" s="38"/>
      <x:c r="D172" s="41"/>
      <x:c r="E172" s="41"/>
      <x:c r="F172" s="44"/>
      <x:c r="G172" s="41"/>
      <x:c r="H172" s="41"/>
      <x:c r="I172" s="41"/>
      <x:c r="J172" s="38"/>
      <x:c r="K172" s="1"/>
      <x:c r="L172" s="1"/>
      <x:c r="M172" s="1"/>
      <x:c r="N172" s="1"/>
      <x:c r="O172" s="1"/>
      <x:c r="P172" s="1"/>
      <x:c r="Q172" s="1"/>
      <x:c r="R172" s="1"/>
      <x:c r="S172" s="1"/>
      <x:c r="T172" s="1"/>
      <x:c r="U172" s="1"/>
      <x:c r="V172" s="1"/>
      <x:c r="W172" s="1"/>
      <x:c r="X172" s="1"/>
      <x:c r="Y172" s="1"/>
      <x:c r="Z172" s="48" t="str">
        <x:f>IF(I172="보유",COUNTIF($I$5:I172,"보유"),"")</x:f>
      </x:c>
      <x:c r="AA172" s="1"/>
      <x:c r="AB172" s="1"/>
      <x:c r="AC172" s="1"/>
      <x:c r="AD172" s="1"/>
      <x:c r="AE172" s="1"/>
    </x:row>
    <x:row r="173" ht="18" customHeight="1">
      <x:c r="A173" s="41"/>
      <x:c r="B173" s="38"/>
      <x:c r="C173" s="38"/>
      <x:c r="D173" s="41"/>
      <x:c r="E173" s="41"/>
      <x:c r="F173" s="44"/>
      <x:c r="G173" s="41"/>
      <x:c r="H173" s="41"/>
      <x:c r="I173" s="41"/>
      <x:c r="J173" s="38"/>
      <x:c r="K173" s="1"/>
      <x:c r="L173" s="1"/>
      <x:c r="M173" s="1"/>
      <x:c r="N173" s="1"/>
      <x:c r="O173" s="1"/>
      <x:c r="P173" s="1"/>
      <x:c r="Q173" s="1"/>
      <x:c r="R173" s="1"/>
      <x:c r="S173" s="1"/>
      <x:c r="T173" s="1"/>
      <x:c r="U173" s="1"/>
      <x:c r="V173" s="1"/>
      <x:c r="W173" s="1"/>
      <x:c r="X173" s="1"/>
      <x:c r="Y173" s="1"/>
      <x:c r="Z173" s="48" t="str">
        <x:f>IF(I173="보유",COUNTIF($I$5:I173,"보유"),"")</x:f>
      </x:c>
      <x:c r="AA173" s="1"/>
      <x:c r="AB173" s="1"/>
      <x:c r="AC173" s="1"/>
      <x:c r="AD173" s="1"/>
      <x:c r="AE173" s="1"/>
    </x:row>
    <x:row r="174" ht="18" customHeight="1">
      <x:c r="A174" s="41"/>
      <x:c r="B174" s="38"/>
      <x:c r="C174" s="38"/>
      <x:c r="D174" s="41"/>
      <x:c r="E174" s="41"/>
      <x:c r="F174" s="44"/>
      <x:c r="G174" s="41"/>
      <x:c r="H174" s="41"/>
      <x:c r="I174" s="41"/>
      <x:c r="J174" s="38"/>
      <x:c r="K174" s="1"/>
      <x:c r="L174" s="1"/>
      <x:c r="M174" s="1"/>
      <x:c r="N174" s="1"/>
      <x:c r="O174" s="1"/>
      <x:c r="P174" s="1"/>
      <x:c r="Q174" s="1"/>
      <x:c r="R174" s="1"/>
      <x:c r="S174" s="1"/>
      <x:c r="T174" s="1"/>
      <x:c r="U174" s="1"/>
      <x:c r="V174" s="1"/>
      <x:c r="W174" s="1"/>
      <x:c r="X174" s="1"/>
      <x:c r="Y174" s="1"/>
      <x:c r="Z174" s="48" t="str">
        <x:f>IF(I174="보유",COUNTIF($I$5:I174,"보유"),"")</x:f>
      </x:c>
      <x:c r="AA174" s="1"/>
      <x:c r="AB174" s="1"/>
      <x:c r="AC174" s="1"/>
      <x:c r="AD174" s="1"/>
      <x:c r="AE174" s="1"/>
    </x:row>
    <x:row r="175" ht="18" customHeight="1">
      <x:c r="A175" s="41"/>
      <x:c r="B175" s="38"/>
      <x:c r="C175" s="38"/>
      <x:c r="D175" s="41"/>
      <x:c r="E175" s="41"/>
      <x:c r="F175" s="44"/>
      <x:c r="G175" s="41"/>
      <x:c r="H175" s="41"/>
      <x:c r="I175" s="41"/>
      <x:c r="J175" s="38"/>
      <x:c r="K175" s="1"/>
      <x:c r="L175" s="1"/>
      <x:c r="M175" s="1"/>
      <x:c r="N175" s="1"/>
      <x:c r="O175" s="1"/>
      <x:c r="P175" s="1"/>
      <x:c r="Q175" s="1"/>
      <x:c r="R175" s="1"/>
      <x:c r="S175" s="1"/>
      <x:c r="T175" s="1"/>
      <x:c r="U175" s="1"/>
      <x:c r="V175" s="1"/>
      <x:c r="W175" s="1"/>
      <x:c r="X175" s="1"/>
      <x:c r="Y175" s="1"/>
      <x:c r="Z175" s="48" t="str">
        <x:f>IF(I175="보유",COUNTIF($I$5:I175,"보유"),"")</x:f>
      </x:c>
      <x:c r="AA175" s="1"/>
      <x:c r="AB175" s="1"/>
      <x:c r="AC175" s="1"/>
      <x:c r="AD175" s="1"/>
      <x:c r="AE175" s="1"/>
    </x:row>
    <x:row r="176" ht="18" customHeight="1">
      <x:c r="A176" s="41"/>
      <x:c r="B176" s="38"/>
      <x:c r="C176" s="38"/>
      <x:c r="D176" s="41"/>
      <x:c r="E176" s="41"/>
      <x:c r="F176" s="44"/>
      <x:c r="G176" s="41"/>
      <x:c r="H176" s="41"/>
      <x:c r="I176" s="41"/>
      <x:c r="J176" s="38"/>
      <x:c r="K176" s="1"/>
      <x:c r="L176" s="1"/>
      <x:c r="M176" s="1"/>
      <x:c r="N176" s="1"/>
      <x:c r="O176" s="1"/>
      <x:c r="P176" s="1"/>
      <x:c r="Q176" s="1"/>
      <x:c r="R176" s="1"/>
      <x:c r="S176" s="1"/>
      <x:c r="T176" s="1"/>
      <x:c r="U176" s="1"/>
      <x:c r="V176" s="1"/>
      <x:c r="W176" s="1"/>
      <x:c r="X176" s="1"/>
      <x:c r="Y176" s="1"/>
      <x:c r="Z176" s="48" t="str">
        <x:f>IF(I176="보유",COUNTIF($I$5:I176,"보유"),"")</x:f>
      </x:c>
      <x:c r="AA176" s="1"/>
      <x:c r="AB176" s="1"/>
      <x:c r="AC176" s="1"/>
      <x:c r="AD176" s="1"/>
      <x:c r="AE176" s="1"/>
    </x:row>
    <x:row r="177" ht="18" customHeight="1">
      <x:c r="A177" s="41"/>
      <x:c r="B177" s="38"/>
      <x:c r="C177" s="38"/>
      <x:c r="D177" s="41"/>
      <x:c r="E177" s="41"/>
      <x:c r="F177" s="44"/>
      <x:c r="G177" s="41"/>
      <x:c r="H177" s="41"/>
      <x:c r="I177" s="41"/>
      <x:c r="J177" s="38"/>
      <x:c r="K177" s="1"/>
      <x:c r="L177" s="1"/>
      <x:c r="M177" s="1"/>
      <x:c r="N177" s="1"/>
      <x:c r="O177" s="1"/>
      <x:c r="P177" s="1"/>
      <x:c r="Q177" s="1"/>
      <x:c r="R177" s="1"/>
      <x:c r="S177" s="1"/>
      <x:c r="T177" s="1"/>
      <x:c r="U177" s="1"/>
      <x:c r="V177" s="1"/>
      <x:c r="W177" s="1"/>
      <x:c r="X177" s="1"/>
      <x:c r="Y177" s="1"/>
      <x:c r="Z177" s="48" t="str">
        <x:f>IF(I177="보유",COUNTIF($I$5:I177,"보유"),"")</x:f>
      </x:c>
      <x:c r="AA177" s="1"/>
      <x:c r="AB177" s="1"/>
      <x:c r="AC177" s="1"/>
      <x:c r="AD177" s="1"/>
      <x:c r="AE177" s="1"/>
    </x:row>
    <x:row r="178" ht="18" customHeight="1">
      <x:c r="A178" s="41"/>
      <x:c r="B178" s="38"/>
      <x:c r="C178" s="38"/>
      <x:c r="D178" s="41"/>
      <x:c r="E178" s="41"/>
      <x:c r="F178" s="44"/>
      <x:c r="G178" s="41"/>
      <x:c r="H178" s="41"/>
      <x:c r="I178" s="41"/>
      <x:c r="J178" s="38"/>
      <x:c r="K178" s="1"/>
      <x:c r="L178" s="1"/>
      <x:c r="M178" s="1"/>
      <x:c r="N178" s="1"/>
      <x:c r="O178" s="1"/>
      <x:c r="P178" s="1"/>
      <x:c r="Q178" s="1"/>
      <x:c r="R178" s="1"/>
      <x:c r="S178" s="1"/>
      <x:c r="T178" s="1"/>
      <x:c r="U178" s="1"/>
      <x:c r="V178" s="1"/>
      <x:c r="W178" s="1"/>
      <x:c r="X178" s="1"/>
      <x:c r="Y178" s="1"/>
      <x:c r="Z178" s="48" t="str">
        <x:f>IF(I178="보유",COUNTIF($I$5:I178,"보유"),"")</x:f>
      </x:c>
      <x:c r="AA178" s="1"/>
      <x:c r="AB178" s="1"/>
      <x:c r="AC178" s="1"/>
      <x:c r="AD178" s="1"/>
      <x:c r="AE178" s="1"/>
    </x:row>
    <x:row r="179" ht="18" customHeight="1">
      <x:c r="A179" s="41"/>
      <x:c r="B179" s="38"/>
      <x:c r="C179" s="38"/>
      <x:c r="D179" s="41"/>
      <x:c r="E179" s="41"/>
      <x:c r="F179" s="44"/>
      <x:c r="G179" s="41"/>
      <x:c r="H179" s="41"/>
      <x:c r="I179" s="41"/>
      <x:c r="J179" s="38"/>
      <x:c r="K179" s="1"/>
      <x:c r="L179" s="1"/>
      <x:c r="M179" s="1"/>
      <x:c r="N179" s="1"/>
      <x:c r="O179" s="1"/>
      <x:c r="P179" s="1"/>
      <x:c r="Q179" s="1"/>
      <x:c r="R179" s="1"/>
      <x:c r="S179" s="1"/>
      <x:c r="T179" s="1"/>
      <x:c r="U179" s="1"/>
      <x:c r="V179" s="1"/>
      <x:c r="W179" s="1"/>
      <x:c r="X179" s="1"/>
      <x:c r="Y179" s="1"/>
      <x:c r="Z179" s="48" t="str">
        <x:f>IF(I179="보유",COUNTIF($I$5:I179,"보유"),"")</x:f>
      </x:c>
      <x:c r="AA179" s="1"/>
      <x:c r="AB179" s="1"/>
      <x:c r="AC179" s="1"/>
      <x:c r="AD179" s="1"/>
      <x:c r="AE179" s="1"/>
    </x:row>
    <x:row r="180" ht="18" customHeight="1">
      <x:c r="A180" s="41"/>
      <x:c r="B180" s="38"/>
      <x:c r="C180" s="38"/>
      <x:c r="D180" s="41"/>
      <x:c r="E180" s="41"/>
      <x:c r="F180" s="44"/>
      <x:c r="G180" s="41"/>
      <x:c r="H180" s="41"/>
      <x:c r="I180" s="41"/>
      <x:c r="J180" s="38"/>
      <x:c r="K180" s="1"/>
      <x:c r="L180" s="1"/>
      <x:c r="M180" s="1"/>
      <x:c r="N180" s="1"/>
      <x:c r="O180" s="1"/>
      <x:c r="P180" s="1"/>
      <x:c r="Q180" s="1"/>
      <x:c r="R180" s="1"/>
      <x:c r="S180" s="1"/>
      <x:c r="T180" s="1"/>
      <x:c r="U180" s="1"/>
      <x:c r="V180" s="1"/>
      <x:c r="W180" s="1"/>
      <x:c r="X180" s="1"/>
      <x:c r="Y180" s="1"/>
      <x:c r="Z180" s="48" t="str">
        <x:f>IF(I180="보유",COUNTIF($I$5:I180,"보유"),"")</x:f>
      </x:c>
      <x:c r="AA180" s="1"/>
      <x:c r="AB180" s="1"/>
      <x:c r="AC180" s="1"/>
      <x:c r="AD180" s="1"/>
      <x:c r="AE180" s="1"/>
    </x:row>
    <x:row r="181" ht="18" customHeight="1">
      <x:c r="A181" s="41"/>
      <x:c r="B181" s="38"/>
      <x:c r="C181" s="38"/>
      <x:c r="D181" s="41"/>
      <x:c r="E181" s="41"/>
      <x:c r="F181" s="44"/>
      <x:c r="G181" s="41"/>
      <x:c r="H181" s="41"/>
      <x:c r="I181" s="41"/>
      <x:c r="J181" s="38"/>
      <x:c r="K181" s="1"/>
      <x:c r="L181" s="1"/>
      <x:c r="M181" s="1"/>
      <x:c r="N181" s="1"/>
      <x:c r="O181" s="1"/>
      <x:c r="P181" s="1"/>
      <x:c r="Q181" s="1"/>
      <x:c r="R181" s="1"/>
      <x:c r="S181" s="1"/>
      <x:c r="T181" s="1"/>
      <x:c r="U181" s="1"/>
      <x:c r="V181" s="1"/>
      <x:c r="W181" s="1"/>
      <x:c r="X181" s="1"/>
      <x:c r="Y181" s="1"/>
      <x:c r="Z181" s="48" t="str">
        <x:f>IF(I181="보유",COUNTIF($I$5:I181,"보유"),"")</x:f>
      </x:c>
      <x:c r="AA181" s="1"/>
      <x:c r="AB181" s="1"/>
      <x:c r="AC181" s="1"/>
      <x:c r="AD181" s="1"/>
      <x:c r="AE181" s="1"/>
    </x:row>
    <x:row r="182" ht="18" customHeight="1">
      <x:c r="A182" s="41"/>
      <x:c r="B182" s="38"/>
      <x:c r="C182" s="38"/>
      <x:c r="D182" s="41"/>
      <x:c r="E182" s="41"/>
      <x:c r="F182" s="44"/>
      <x:c r="G182" s="41"/>
      <x:c r="H182" s="41"/>
      <x:c r="I182" s="41"/>
      <x:c r="J182" s="38"/>
      <x:c r="K182" s="1"/>
      <x:c r="L182" s="1"/>
      <x:c r="M182" s="1"/>
      <x:c r="N182" s="1"/>
      <x:c r="O182" s="1"/>
      <x:c r="P182" s="1"/>
      <x:c r="Q182" s="1"/>
      <x:c r="R182" s="1"/>
      <x:c r="S182" s="1"/>
      <x:c r="T182" s="1"/>
      <x:c r="U182" s="1"/>
      <x:c r="V182" s="1"/>
      <x:c r="W182" s="1"/>
      <x:c r="X182" s="1"/>
      <x:c r="Y182" s="1"/>
      <x:c r="Z182" s="48" t="str">
        <x:f>IF(I182="보유",COUNTIF($I$5:I182,"보유"),"")</x:f>
      </x:c>
      <x:c r="AA182" s="1"/>
      <x:c r="AB182" s="1"/>
      <x:c r="AC182" s="1"/>
      <x:c r="AD182" s="1"/>
      <x:c r="AE182" s="1"/>
    </x:row>
    <x:row r="183" ht="18" customHeight="1">
      <x:c r="A183" s="41"/>
      <x:c r="B183" s="38"/>
      <x:c r="C183" s="38"/>
      <x:c r="D183" s="41"/>
      <x:c r="E183" s="41"/>
      <x:c r="F183" s="44"/>
      <x:c r="G183" s="41"/>
      <x:c r="H183" s="41"/>
      <x:c r="I183" s="41"/>
      <x:c r="J183" s="38"/>
      <x:c r="K183" s="1"/>
      <x:c r="L183" s="1"/>
      <x:c r="M183" s="1"/>
      <x:c r="N183" s="1"/>
      <x:c r="O183" s="1"/>
      <x:c r="P183" s="1"/>
      <x:c r="Q183" s="1"/>
      <x:c r="R183" s="1"/>
      <x:c r="S183" s="1"/>
      <x:c r="T183" s="1"/>
      <x:c r="U183" s="1"/>
      <x:c r="V183" s="1"/>
      <x:c r="W183" s="1"/>
      <x:c r="X183" s="1"/>
      <x:c r="Y183" s="1"/>
      <x:c r="Z183" s="48" t="str">
        <x:f>IF(I183="보유",COUNTIF($I$5:I183,"보유"),"")</x:f>
      </x:c>
      <x:c r="AA183" s="1"/>
      <x:c r="AB183" s="1"/>
      <x:c r="AC183" s="1"/>
      <x:c r="AD183" s="1"/>
      <x:c r="AE183" s="1"/>
    </x:row>
    <x:row r="184" ht="18" customHeight="1">
      <x:c r="A184" s="41"/>
      <x:c r="B184" s="38"/>
      <x:c r="C184" s="38"/>
      <x:c r="D184" s="41"/>
      <x:c r="E184" s="41"/>
      <x:c r="F184" s="44"/>
      <x:c r="G184" s="41"/>
      <x:c r="H184" s="41"/>
      <x:c r="I184" s="41"/>
      <x:c r="J184" s="38"/>
      <x:c r="K184" s="1"/>
      <x:c r="L184" s="1"/>
      <x:c r="M184" s="1"/>
      <x:c r="N184" s="1"/>
      <x:c r="O184" s="1"/>
      <x:c r="P184" s="1"/>
      <x:c r="Q184" s="1"/>
      <x:c r="R184" s="1"/>
      <x:c r="S184" s="1"/>
      <x:c r="T184" s="1"/>
      <x:c r="U184" s="1"/>
      <x:c r="V184" s="1"/>
      <x:c r="W184" s="1"/>
      <x:c r="X184" s="1"/>
      <x:c r="Y184" s="1"/>
      <x:c r="Z184" s="48" t="str">
        <x:f>IF(I184="보유",COUNTIF($I$5:I184,"보유"),"")</x:f>
      </x:c>
      <x:c r="AA184" s="1"/>
      <x:c r="AB184" s="1"/>
      <x:c r="AC184" s="1"/>
      <x:c r="AD184" s="1"/>
      <x:c r="AE184" s="1"/>
    </x:row>
    <x:row r="185" ht="18" customHeight="1">
      <x:c r="A185" s="41"/>
      <x:c r="B185" s="38"/>
      <x:c r="C185" s="38"/>
      <x:c r="D185" s="41"/>
      <x:c r="E185" s="41"/>
      <x:c r="F185" s="44"/>
      <x:c r="G185" s="41"/>
      <x:c r="H185" s="41"/>
      <x:c r="I185" s="41"/>
      <x:c r="J185" s="38"/>
      <x:c r="K185" s="1"/>
      <x:c r="L185" s="1"/>
      <x:c r="M185" s="1"/>
      <x:c r="N185" s="1"/>
      <x:c r="O185" s="1"/>
      <x:c r="P185" s="1"/>
      <x:c r="Q185" s="1"/>
      <x:c r="R185" s="1"/>
      <x:c r="S185" s="1"/>
      <x:c r="T185" s="1"/>
      <x:c r="U185" s="1"/>
      <x:c r="V185" s="1"/>
      <x:c r="W185" s="1"/>
      <x:c r="X185" s="1"/>
      <x:c r="Y185" s="1"/>
      <x:c r="Z185" s="48" t="str">
        <x:f>IF(I185="보유",COUNTIF($I$5:I185,"보유"),"")</x:f>
      </x:c>
      <x:c r="AA185" s="1"/>
      <x:c r="AB185" s="1"/>
      <x:c r="AC185" s="1"/>
      <x:c r="AD185" s="1"/>
      <x:c r="AE185" s="1"/>
    </x:row>
    <x:row r="186" ht="18" customHeight="1">
      <x:c r="A186" s="41"/>
      <x:c r="B186" s="38"/>
      <x:c r="C186" s="38"/>
      <x:c r="D186" s="41"/>
      <x:c r="E186" s="41"/>
      <x:c r="F186" s="44"/>
      <x:c r="G186" s="41"/>
      <x:c r="H186" s="41"/>
      <x:c r="I186" s="41"/>
      <x:c r="J186" s="38"/>
      <x:c r="K186" s="1"/>
      <x:c r="L186" s="1"/>
      <x:c r="M186" s="1"/>
      <x:c r="N186" s="1"/>
      <x:c r="O186" s="1"/>
      <x:c r="P186" s="1"/>
      <x:c r="Q186" s="1"/>
      <x:c r="R186" s="1"/>
      <x:c r="S186" s="1"/>
      <x:c r="T186" s="1"/>
      <x:c r="U186" s="1"/>
      <x:c r="V186" s="1"/>
      <x:c r="W186" s="1"/>
      <x:c r="X186" s="1"/>
      <x:c r="Y186" s="1"/>
      <x:c r="Z186" s="48" t="str">
        <x:f>IF(I186="보유",COUNTIF($I$5:I186,"보유"),"")</x:f>
      </x:c>
      <x:c r="AA186" s="1"/>
      <x:c r="AB186" s="1"/>
      <x:c r="AC186" s="1"/>
      <x:c r="AD186" s="1"/>
      <x:c r="AE186" s="1"/>
    </x:row>
    <x:row r="187" ht="18" customHeight="1">
      <x:c r="A187" s="41"/>
      <x:c r="B187" s="38"/>
      <x:c r="C187" s="38"/>
      <x:c r="D187" s="41"/>
      <x:c r="E187" s="41"/>
      <x:c r="F187" s="44"/>
      <x:c r="G187" s="41"/>
      <x:c r="H187" s="41"/>
      <x:c r="I187" s="41"/>
      <x:c r="J187" s="38"/>
      <x:c r="K187" s="1"/>
      <x:c r="L187" s="1"/>
      <x:c r="M187" s="1"/>
      <x:c r="N187" s="1"/>
      <x:c r="O187" s="1"/>
      <x:c r="P187" s="1"/>
      <x:c r="Q187" s="1"/>
      <x:c r="R187" s="1"/>
      <x:c r="S187" s="1"/>
      <x:c r="T187" s="1"/>
      <x:c r="U187" s="1"/>
      <x:c r="V187" s="1"/>
      <x:c r="W187" s="1"/>
      <x:c r="X187" s="1"/>
      <x:c r="Y187" s="1"/>
      <x:c r="Z187" s="48" t="str">
        <x:f>IF(I187="보유",COUNTIF($I$5:I187,"보유"),"")</x:f>
      </x:c>
      <x:c r="AA187" s="1"/>
      <x:c r="AB187" s="1"/>
      <x:c r="AC187" s="1"/>
      <x:c r="AD187" s="1"/>
      <x:c r="AE187" s="1"/>
    </x:row>
    <x:row r="188" ht="18" customHeight="1">
      <x:c r="A188" s="41"/>
      <x:c r="B188" s="38"/>
      <x:c r="C188" s="38"/>
      <x:c r="D188" s="41"/>
      <x:c r="E188" s="41"/>
      <x:c r="F188" s="44"/>
      <x:c r="G188" s="41"/>
      <x:c r="H188" s="41"/>
      <x:c r="I188" s="41"/>
      <x:c r="J188" s="38"/>
      <x:c r="K188" s="1"/>
      <x:c r="L188" s="1"/>
      <x:c r="M188" s="1"/>
      <x:c r="N188" s="1"/>
      <x:c r="O188" s="1"/>
      <x:c r="P188" s="1"/>
      <x:c r="Q188" s="1"/>
      <x:c r="R188" s="1"/>
      <x:c r="S188" s="1"/>
      <x:c r="T188" s="1"/>
      <x:c r="U188" s="1"/>
      <x:c r="V188" s="1"/>
      <x:c r="W188" s="1"/>
      <x:c r="X188" s="1"/>
      <x:c r="Y188" s="1"/>
      <x:c r="Z188" s="48" t="str">
        <x:f>IF(I188="보유",COUNTIF($I$5:I188,"보유"),"")</x:f>
      </x:c>
      <x:c r="AA188" s="1"/>
      <x:c r="AB188" s="1"/>
      <x:c r="AC188" s="1"/>
      <x:c r="AD188" s="1"/>
      <x:c r="AE188" s="1"/>
    </x:row>
    <x:row r="189" ht="18" customHeight="1">
      <x:c r="A189" s="41"/>
      <x:c r="B189" s="38"/>
      <x:c r="C189" s="38"/>
      <x:c r="D189" s="41"/>
      <x:c r="E189" s="41"/>
      <x:c r="F189" s="44"/>
      <x:c r="G189" s="41"/>
      <x:c r="H189" s="41"/>
      <x:c r="I189" s="41"/>
      <x:c r="J189" s="38"/>
      <x:c r="K189" s="1"/>
      <x:c r="L189" s="1"/>
      <x:c r="M189" s="1"/>
      <x:c r="N189" s="1"/>
      <x:c r="O189" s="1"/>
      <x:c r="P189" s="1"/>
      <x:c r="Q189" s="1"/>
      <x:c r="R189" s="1"/>
      <x:c r="S189" s="1"/>
      <x:c r="T189" s="1"/>
      <x:c r="U189" s="1"/>
      <x:c r="V189" s="1"/>
      <x:c r="W189" s="1"/>
      <x:c r="X189" s="1"/>
      <x:c r="Y189" s="1"/>
      <x:c r="Z189" s="48" t="str">
        <x:f>IF(I189="보유",COUNTIF($I$5:I189,"보유"),"")</x:f>
      </x:c>
      <x:c r="AA189" s="1"/>
      <x:c r="AB189" s="1"/>
      <x:c r="AC189" s="1"/>
      <x:c r="AD189" s="1"/>
      <x:c r="AE189" s="1"/>
    </x:row>
    <x:row r="190" ht="18" customHeight="1">
      <x:c r="A190" s="41"/>
      <x:c r="B190" s="38"/>
      <x:c r="C190" s="38"/>
      <x:c r="D190" s="41"/>
      <x:c r="E190" s="41"/>
      <x:c r="F190" s="44"/>
      <x:c r="G190" s="41"/>
      <x:c r="H190" s="41"/>
      <x:c r="I190" s="41"/>
      <x:c r="J190" s="38"/>
      <x:c r="K190" s="1"/>
      <x:c r="L190" s="1"/>
      <x:c r="M190" s="1"/>
      <x:c r="N190" s="1"/>
      <x:c r="O190" s="1"/>
      <x:c r="P190" s="1"/>
      <x:c r="Q190" s="1"/>
      <x:c r="R190" s="1"/>
      <x:c r="S190" s="1"/>
      <x:c r="T190" s="1"/>
      <x:c r="U190" s="1"/>
      <x:c r="V190" s="1"/>
      <x:c r="W190" s="1"/>
      <x:c r="X190" s="1"/>
      <x:c r="Y190" s="1"/>
      <x:c r="Z190" s="48" t="str">
        <x:f>IF(I190="보유",COUNTIF($I$5:I190,"보유"),"")</x:f>
      </x:c>
      <x:c r="AA190" s="1"/>
      <x:c r="AB190" s="1"/>
      <x:c r="AC190" s="1"/>
      <x:c r="AD190" s="1"/>
      <x:c r="AE190" s="1"/>
    </x:row>
    <x:row r="191" ht="18" customHeight="1">
      <x:c r="A191" s="41"/>
      <x:c r="B191" s="38"/>
      <x:c r="C191" s="38"/>
      <x:c r="D191" s="41"/>
      <x:c r="E191" s="41"/>
      <x:c r="F191" s="44"/>
      <x:c r="G191" s="41"/>
      <x:c r="H191" s="41"/>
      <x:c r="I191" s="41"/>
      <x:c r="J191" s="38"/>
      <x:c r="K191" s="1"/>
      <x:c r="L191" s="1"/>
      <x:c r="M191" s="1"/>
      <x:c r="N191" s="1"/>
      <x:c r="O191" s="1"/>
      <x:c r="P191" s="1"/>
      <x:c r="Q191" s="1"/>
      <x:c r="R191" s="1"/>
      <x:c r="S191" s="1"/>
      <x:c r="T191" s="1"/>
      <x:c r="U191" s="1"/>
      <x:c r="V191" s="1"/>
      <x:c r="W191" s="1"/>
      <x:c r="X191" s="1"/>
      <x:c r="Y191" s="1"/>
      <x:c r="Z191" s="48" t="str">
        <x:f>IF(I191="보유",COUNTIF($I$5:I191,"보유"),"")</x:f>
      </x:c>
      <x:c r="AA191" s="1"/>
      <x:c r="AB191" s="1"/>
      <x:c r="AC191" s="1"/>
      <x:c r="AD191" s="1"/>
      <x:c r="AE191" s="1"/>
    </x:row>
    <x:row r="192" ht="18" customHeight="1">
      <x:c r="A192" s="41"/>
      <x:c r="B192" s="38"/>
      <x:c r="C192" s="38"/>
      <x:c r="D192" s="41"/>
      <x:c r="E192" s="41"/>
      <x:c r="F192" s="44"/>
      <x:c r="G192" s="41"/>
      <x:c r="H192" s="41"/>
      <x:c r="I192" s="41"/>
      <x:c r="J192" s="38"/>
      <x:c r="K192" s="1"/>
      <x:c r="L192" s="1"/>
      <x:c r="M192" s="1"/>
      <x:c r="N192" s="1"/>
      <x:c r="O192" s="1"/>
      <x:c r="P192" s="1"/>
      <x:c r="Q192" s="1"/>
      <x:c r="R192" s="1"/>
      <x:c r="S192" s="1"/>
      <x:c r="T192" s="1"/>
      <x:c r="U192" s="1"/>
      <x:c r="V192" s="1"/>
      <x:c r="W192" s="1"/>
      <x:c r="X192" s="1"/>
      <x:c r="Y192" s="1"/>
      <x:c r="Z192" s="48" t="str">
        <x:f>IF(I192="보유",COUNTIF($I$5:I192,"보유"),"")</x:f>
      </x:c>
      <x:c r="AA192" s="1"/>
      <x:c r="AB192" s="1"/>
      <x:c r="AC192" s="1"/>
      <x:c r="AD192" s="1"/>
      <x:c r="AE192" s="1"/>
    </x:row>
    <x:row r="193" ht="18" customHeight="1">
      <x:c r="A193" s="41"/>
      <x:c r="B193" s="38"/>
      <x:c r="C193" s="38"/>
      <x:c r="D193" s="41"/>
      <x:c r="E193" s="41"/>
      <x:c r="F193" s="44"/>
      <x:c r="G193" s="41"/>
      <x:c r="H193" s="41"/>
      <x:c r="I193" s="41"/>
      <x:c r="J193" s="38"/>
      <x:c r="K193" s="1"/>
      <x:c r="L193" s="1"/>
      <x:c r="M193" s="1"/>
      <x:c r="N193" s="1"/>
      <x:c r="O193" s="1"/>
      <x:c r="P193" s="1"/>
      <x:c r="Q193" s="1"/>
      <x:c r="R193" s="1"/>
      <x:c r="S193" s="1"/>
      <x:c r="T193" s="1"/>
      <x:c r="U193" s="1"/>
      <x:c r="V193" s="1"/>
      <x:c r="W193" s="1"/>
      <x:c r="X193" s="1"/>
      <x:c r="Y193" s="1"/>
      <x:c r="Z193" s="48" t="str">
        <x:f>IF(I193="보유",COUNTIF($I$5:I193,"보유"),"")</x:f>
      </x:c>
      <x:c r="AA193" s="1"/>
      <x:c r="AB193" s="1"/>
      <x:c r="AC193" s="1"/>
      <x:c r="AD193" s="1"/>
      <x:c r="AE193" s="1"/>
    </x:row>
    <x:row r="194" ht="18" customHeight="1">
      <x:c r="A194" s="41"/>
      <x:c r="B194" s="38"/>
      <x:c r="C194" s="38"/>
      <x:c r="D194" s="41"/>
      <x:c r="E194" s="41"/>
      <x:c r="F194" s="44"/>
      <x:c r="G194" s="41"/>
      <x:c r="H194" s="41"/>
      <x:c r="I194" s="41"/>
      <x:c r="J194" s="38"/>
      <x:c r="K194" s="1"/>
      <x:c r="L194" s="1"/>
      <x:c r="M194" s="1"/>
      <x:c r="N194" s="1"/>
      <x:c r="O194" s="1"/>
      <x:c r="P194" s="1"/>
      <x:c r="Q194" s="1"/>
      <x:c r="R194" s="1"/>
      <x:c r="S194" s="1"/>
      <x:c r="T194" s="1"/>
      <x:c r="U194" s="1"/>
      <x:c r="V194" s="1"/>
      <x:c r="W194" s="1"/>
      <x:c r="X194" s="1"/>
      <x:c r="Y194" s="1"/>
      <x:c r="Z194" s="48" t="str">
        <x:f>IF(I194="보유",COUNTIF($I$5:I194,"보유"),"")</x:f>
      </x:c>
      <x:c r="AA194" s="1"/>
      <x:c r="AB194" s="1"/>
      <x:c r="AC194" s="1"/>
      <x:c r="AD194" s="1"/>
      <x:c r="AE194" s="1"/>
    </x:row>
    <x:row r="195" ht="18" customHeight="1">
      <x:c r="A195" s="41"/>
      <x:c r="B195" s="38"/>
      <x:c r="C195" s="38"/>
      <x:c r="D195" s="41"/>
      <x:c r="E195" s="41"/>
      <x:c r="F195" s="44"/>
      <x:c r="G195" s="41"/>
      <x:c r="H195" s="41"/>
      <x:c r="I195" s="41"/>
      <x:c r="J195" s="38"/>
      <x:c r="K195" s="1"/>
      <x:c r="L195" s="1"/>
      <x:c r="M195" s="1"/>
      <x:c r="N195" s="1"/>
      <x:c r="O195" s="1"/>
      <x:c r="P195" s="1"/>
      <x:c r="Q195" s="1"/>
      <x:c r="R195" s="1"/>
      <x:c r="S195" s="1"/>
      <x:c r="T195" s="1"/>
      <x:c r="U195" s="1"/>
      <x:c r="V195" s="1"/>
      <x:c r="W195" s="1"/>
      <x:c r="X195" s="1"/>
      <x:c r="Y195" s="1"/>
      <x:c r="Z195" s="48" t="str">
        <x:f>IF(I195="보유",COUNTIF($I$5:I195,"보유"),"")</x:f>
      </x:c>
      <x:c r="AA195" s="1"/>
      <x:c r="AB195" s="1"/>
      <x:c r="AC195" s="1"/>
      <x:c r="AD195" s="1"/>
      <x:c r="AE195" s="1"/>
    </x:row>
    <x:row r="196" ht="18" customHeight="1">
      <x:c r="A196" s="41"/>
      <x:c r="B196" s="38"/>
      <x:c r="C196" s="38"/>
      <x:c r="D196" s="41"/>
      <x:c r="E196" s="41"/>
      <x:c r="F196" s="44"/>
      <x:c r="G196" s="41"/>
      <x:c r="H196" s="41"/>
      <x:c r="I196" s="41"/>
      <x:c r="J196" s="38"/>
      <x:c r="K196" s="1"/>
      <x:c r="L196" s="1"/>
      <x:c r="M196" s="1"/>
      <x:c r="N196" s="1"/>
      <x:c r="O196" s="1"/>
      <x:c r="P196" s="1"/>
      <x:c r="Q196" s="1"/>
      <x:c r="R196" s="1"/>
      <x:c r="S196" s="1"/>
      <x:c r="T196" s="1"/>
      <x:c r="U196" s="1"/>
      <x:c r="V196" s="1"/>
      <x:c r="W196" s="1"/>
      <x:c r="X196" s="1"/>
      <x:c r="Y196" s="1"/>
      <x:c r="Z196" s="48" t="str">
        <x:f>IF(I196="보유",COUNTIF($I$5:I196,"보유"),"")</x:f>
      </x:c>
      <x:c r="AA196" s="1"/>
      <x:c r="AB196" s="1"/>
      <x:c r="AC196" s="1"/>
      <x:c r="AD196" s="1"/>
      <x:c r="AE196" s="1"/>
    </x:row>
    <x:row r="197" ht="18" customHeight="1">
      <x:c r="A197" s="41"/>
      <x:c r="B197" s="38"/>
      <x:c r="C197" s="38"/>
      <x:c r="D197" s="41"/>
      <x:c r="E197" s="41"/>
      <x:c r="F197" s="44"/>
      <x:c r="G197" s="41"/>
      <x:c r="H197" s="41"/>
      <x:c r="I197" s="41"/>
      <x:c r="J197" s="38"/>
      <x:c r="K197" s="1"/>
      <x:c r="L197" s="1"/>
      <x:c r="M197" s="1"/>
      <x:c r="N197" s="1"/>
      <x:c r="O197" s="1"/>
      <x:c r="P197" s="1"/>
      <x:c r="Q197" s="1"/>
      <x:c r="R197" s="1"/>
      <x:c r="S197" s="1"/>
      <x:c r="T197" s="1"/>
      <x:c r="U197" s="1"/>
      <x:c r="V197" s="1"/>
      <x:c r="W197" s="1"/>
      <x:c r="X197" s="1"/>
      <x:c r="Y197" s="1"/>
      <x:c r="Z197" s="48" t="str">
        <x:f>IF(I197="보유",COUNTIF($I$5:I197,"보유"),"")</x:f>
      </x:c>
      <x:c r="AA197" s="1"/>
      <x:c r="AB197" s="1"/>
      <x:c r="AC197" s="1"/>
      <x:c r="AD197" s="1"/>
      <x:c r="AE197" s="1"/>
    </x:row>
    <x:row r="198" ht="18" customHeight="1">
      <x:c r="A198" s="41"/>
      <x:c r="B198" s="38"/>
      <x:c r="C198" s="38"/>
      <x:c r="D198" s="41"/>
      <x:c r="E198" s="41"/>
      <x:c r="F198" s="44"/>
      <x:c r="G198" s="41"/>
      <x:c r="H198" s="41"/>
      <x:c r="I198" s="41"/>
      <x:c r="J198" s="38"/>
      <x:c r="K198" s="1"/>
      <x:c r="L198" s="1"/>
      <x:c r="M198" s="1"/>
      <x:c r="N198" s="1"/>
      <x:c r="O198" s="1"/>
      <x:c r="P198" s="1"/>
      <x:c r="Q198" s="1"/>
      <x:c r="R198" s="1"/>
      <x:c r="S198" s="1"/>
      <x:c r="T198" s="1"/>
      <x:c r="U198" s="1"/>
      <x:c r="V198" s="1"/>
      <x:c r="W198" s="1"/>
      <x:c r="X198" s="1"/>
      <x:c r="Y198" s="1"/>
      <x:c r="Z198" s="48" t="str">
        <x:f>IF(I198="보유",COUNTIF($I$5:I198,"보유"),"")</x:f>
      </x:c>
      <x:c r="AA198" s="1"/>
      <x:c r="AB198" s="1"/>
      <x:c r="AC198" s="1"/>
      <x:c r="AD198" s="1"/>
      <x:c r="AE198" s="1"/>
    </x:row>
    <x:row r="199" ht="18" customHeight="1">
      <x:c r="A199" s="41"/>
      <x:c r="B199" s="38"/>
      <x:c r="C199" s="38"/>
      <x:c r="D199" s="41"/>
      <x:c r="E199" s="41"/>
      <x:c r="F199" s="44"/>
      <x:c r="G199" s="41"/>
      <x:c r="H199" s="41"/>
      <x:c r="I199" s="41"/>
      <x:c r="J199" s="38"/>
      <x:c r="K199" s="1"/>
      <x:c r="L199" s="1"/>
      <x:c r="M199" s="1"/>
      <x:c r="N199" s="1"/>
      <x:c r="O199" s="1"/>
      <x:c r="P199" s="1"/>
      <x:c r="Q199" s="1"/>
      <x:c r="R199" s="1"/>
      <x:c r="S199" s="1"/>
      <x:c r="T199" s="1"/>
      <x:c r="U199" s="1"/>
      <x:c r="V199" s="1"/>
      <x:c r="W199" s="1"/>
      <x:c r="X199" s="1"/>
      <x:c r="Y199" s="1"/>
      <x:c r="Z199" s="48" t="str">
        <x:f>IF(I199="보유",COUNTIF($I$5:I199,"보유"),"")</x:f>
      </x:c>
      <x:c r="AA199" s="1"/>
      <x:c r="AB199" s="1"/>
      <x:c r="AC199" s="1"/>
      <x:c r="AD199" s="1"/>
      <x:c r="AE199" s="1"/>
    </x:row>
    <x:row r="200" ht="18" customHeight="1">
      <x:c r="A200" s="41"/>
      <x:c r="B200" s="38"/>
      <x:c r="C200" s="38"/>
      <x:c r="D200" s="41"/>
      <x:c r="E200" s="41"/>
      <x:c r="F200" s="44"/>
      <x:c r="G200" s="41"/>
      <x:c r="H200" s="41"/>
      <x:c r="I200" s="41"/>
      <x:c r="J200" s="38"/>
      <x:c r="K200" s="1"/>
      <x:c r="L200" s="1"/>
      <x:c r="M200" s="1"/>
      <x:c r="N200" s="1"/>
      <x:c r="O200" s="1"/>
      <x:c r="P200" s="1"/>
      <x:c r="Q200" s="1"/>
      <x:c r="R200" s="1"/>
      <x:c r="S200" s="1"/>
      <x:c r="T200" s="1"/>
      <x:c r="U200" s="1"/>
      <x:c r="V200" s="1"/>
      <x:c r="W200" s="1"/>
      <x:c r="X200" s="1"/>
      <x:c r="Y200" s="1"/>
      <x:c r="Z200" s="48" t="str">
        <x:f>IF(I200="보유",COUNTIF($I$5:I200,"보유"),"")</x:f>
      </x:c>
      <x:c r="AA200" s="1"/>
      <x:c r="AB200" s="1"/>
      <x:c r="AC200" s="1"/>
      <x:c r="AD200" s="1"/>
      <x:c r="AE200" s="1"/>
    </x:row>
    <x:row r="201" ht="18" customHeight="1">
      <x:c r="A201" s="41"/>
      <x:c r="B201" s="38"/>
      <x:c r="C201" s="38"/>
      <x:c r="D201" s="41"/>
      <x:c r="E201" s="41"/>
      <x:c r="F201" s="44"/>
      <x:c r="G201" s="41"/>
      <x:c r="H201" s="41"/>
      <x:c r="I201" s="41"/>
      <x:c r="J201" s="38"/>
      <x:c r="K201" s="1"/>
      <x:c r="L201" s="1"/>
      <x:c r="M201" s="1"/>
      <x:c r="N201" s="1"/>
      <x:c r="O201" s="1"/>
      <x:c r="P201" s="1"/>
      <x:c r="Q201" s="1"/>
      <x:c r="R201" s="1"/>
      <x:c r="S201" s="1"/>
      <x:c r="T201" s="1"/>
      <x:c r="U201" s="1"/>
      <x:c r="V201" s="1"/>
      <x:c r="W201" s="1"/>
      <x:c r="X201" s="1"/>
      <x:c r="Y201" s="1"/>
      <x:c r="Z201" s="48" t="str">
        <x:f>IF(I201="보유",COUNTIF($I$5:I201,"보유"),"")</x:f>
      </x:c>
      <x:c r="AA201" s="1"/>
      <x:c r="AB201" s="1"/>
      <x:c r="AC201" s="1"/>
      <x:c r="AD201" s="1"/>
      <x:c r="AE201" s="1"/>
    </x:row>
    <x:row r="202" ht="18" customHeight="1">
      <x:c r="A202" s="41"/>
      <x:c r="B202" s="38"/>
      <x:c r="C202" s="38"/>
      <x:c r="D202" s="41"/>
      <x:c r="E202" s="41"/>
      <x:c r="F202" s="44"/>
      <x:c r="G202" s="41"/>
      <x:c r="H202" s="41"/>
      <x:c r="I202" s="41"/>
      <x:c r="J202" s="38"/>
      <x:c r="K202" s="1"/>
      <x:c r="L202" s="1"/>
      <x:c r="M202" s="1"/>
      <x:c r="N202" s="1"/>
      <x:c r="O202" s="1"/>
      <x:c r="P202" s="1"/>
      <x:c r="Q202" s="1"/>
      <x:c r="R202" s="1"/>
      <x:c r="S202" s="1"/>
      <x:c r="T202" s="1"/>
      <x:c r="U202" s="1"/>
      <x:c r="V202" s="1"/>
      <x:c r="W202" s="1"/>
      <x:c r="X202" s="1"/>
      <x:c r="Y202" s="1"/>
      <x:c r="Z202" s="48" t="str">
        <x:f>IF(I202="보유",COUNTIF($I$5:I202,"보유"),"")</x:f>
      </x:c>
      <x:c r="AA202" s="1"/>
      <x:c r="AB202" s="1"/>
      <x:c r="AC202" s="1"/>
      <x:c r="AD202" s="1"/>
      <x:c r="AE202" s="1"/>
    </x:row>
    <x:row r="203" ht="18" customHeight="1">
      <x:c r="A203" s="41"/>
      <x:c r="B203" s="38"/>
      <x:c r="C203" s="38"/>
      <x:c r="D203" s="41"/>
      <x:c r="E203" s="41"/>
      <x:c r="F203" s="44"/>
      <x:c r="G203" s="41"/>
      <x:c r="H203" s="41"/>
      <x:c r="I203" s="41"/>
      <x:c r="J203" s="38"/>
      <x:c r="K203" s="1"/>
      <x:c r="L203" s="1"/>
      <x:c r="M203" s="1"/>
      <x:c r="N203" s="1"/>
      <x:c r="O203" s="1"/>
      <x:c r="P203" s="1"/>
      <x:c r="Q203" s="1"/>
      <x:c r="R203" s="1"/>
      <x:c r="S203" s="1"/>
      <x:c r="T203" s="1"/>
      <x:c r="U203" s="1"/>
      <x:c r="V203" s="1"/>
      <x:c r="W203" s="1"/>
      <x:c r="X203" s="1"/>
      <x:c r="Y203" s="1"/>
      <x:c r="Z203" s="48" t="str">
        <x:f>IF(I203="보유",COUNTIF($I$5:I203,"보유"),"")</x:f>
      </x:c>
      <x:c r="AA203" s="1"/>
      <x:c r="AB203" s="1"/>
      <x:c r="AC203" s="1"/>
      <x:c r="AD203" s="1"/>
      <x:c r="AE203" s="1"/>
    </x:row>
    <x:row r="204" ht="18" customHeight="1">
      <x:c r="A204" s="42"/>
      <x:c r="B204" s="39"/>
      <x:c r="C204" s="39"/>
      <x:c r="D204" s="42"/>
      <x:c r="E204" s="42"/>
      <x:c r="F204" s="45"/>
      <x:c r="G204" s="42"/>
      <x:c r="H204" s="42"/>
      <x:c r="I204" s="42"/>
      <x:c r="J204" s="39"/>
      <x:c r="K204" s="1"/>
      <x:c r="L204" s="1"/>
      <x:c r="M204" s="1"/>
      <x:c r="N204" s="1"/>
      <x:c r="O204" s="1"/>
      <x:c r="P204" s="1"/>
      <x:c r="Q204" s="1"/>
      <x:c r="R204" s="1"/>
      <x:c r="S204" s="1"/>
      <x:c r="T204" s="1"/>
      <x:c r="U204" s="1"/>
      <x:c r="V204" s="1"/>
      <x:c r="W204" s="1"/>
      <x:c r="X204" s="1"/>
      <x:c r="Y204" s="1"/>
      <x:c r="Z204" s="48" t="str">
        <x:f>IF(I204="보유",COUNTIF($I$5:I204,"보유"),"")</x:f>
      </x:c>
      <x:c r="AA204" s="1"/>
      <x:c r="AB204" s="1"/>
      <x:c r="AC204" s="1"/>
      <x:c r="AD204" s="1"/>
      <x:c r="AE204" s="1"/>
    </x:row>
  </x:sheetData>
  <x:mergeCells>
    <x:mergeCell ref="A1:J1"/>
    <x:mergeCell ref="A2:J2"/>
    <x:mergeCell ref="A3:J3"/>
  </x:mergeCells>
  <x:conditionalFormatting sqref="I5:I204">
    <x:cfRule type="containsText" dxfId="0" priority="1" operator="containsText" text="보유"/>
    <x:cfRule type="containsText" dxfId="1" priority="2" operator="containsText" text="매각"/>
    <x:cfRule type="containsText" dxfId="2" priority="3" operator="containsText" text="폐차"/>
  </x:conditionalFormatting>
  <x:dataValidations count="3">
    <x:dataValidation type="list" sqref="D5:D204">
      <x:formula1>"본사,지점,위탁"</x:formula1>
    </x:dataValidation>
    <x:dataValidation type="list" sqref="G5:G204">
      <x:formula1>"현금,할부,리스,위탁"</x:formula1>
    </x:dataValidation>
    <x:dataValidation type="list" sqref="I5:I204">
      <x:formula1>"보유,매각,폐차"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" hidden="0" customWidth="1"/>
    <x:col min="2" max="2" width="12.5" hidden="0" customWidth="1"/>
    <x:col min="3" max="3" width="18.75" hidden="0" customWidth="1"/>
    <x:col min="4" max="4" width="8" hidden="0" customWidth="1"/>
    <x:col min="5" max="5" width="9.25" hidden="0" customWidth="1"/>
    <x:col min="14" max="14" width="9.25" hidden="0" customWidth="1"/>
    <x:col min="23" max="23" width="9.25" hidden="0" customWidth="1"/>
    <x:col min="6" max="6" width="13.130000114440918" hidden="0" customWidth="1"/>
    <x:col min="15" max="15" width="13.130000114440918" hidden="0" customWidth="1"/>
    <x:col min="24" max="24" width="13.130000114440918" hidden="0" customWidth="1"/>
    <x:col min="7" max="7" width="13" hidden="0" customWidth="1"/>
    <x:col min="16" max="16" width="13" hidden="0" customWidth="1"/>
    <x:col min="25" max="25" width="13" hidden="0" customWidth="1"/>
    <x:col min="8" max="8" width="11.5" hidden="0" customWidth="1"/>
    <x:col min="9" max="9" width="11.5" hidden="0" customWidth="1"/>
    <x:col min="10" max="10" width="11.5" hidden="0" customWidth="1"/>
    <x:col min="17" max="17" width="11.5" hidden="0" customWidth="1"/>
    <x:col min="18" max="18" width="11.5" hidden="0" customWidth="1"/>
    <x:col min="19" max="19" width="11.5" hidden="0" customWidth="1"/>
    <x:col min="26" max="26" width="11.5" hidden="0" customWidth="1"/>
    <x:col min="27" max="27" width="11.5" hidden="0" customWidth="1"/>
    <x:col min="28" max="28" width="11.5" hidden="0" customWidth="1"/>
    <x:col min="11" max="11" width="13" hidden="0" customWidth="1"/>
    <x:col min="12" max="12" width="13" hidden="0" customWidth="1"/>
    <x:col min="20" max="20" width="13" hidden="0" customWidth="1"/>
    <x:col min="21" max="21" width="13" hidden="0" customWidth="1"/>
    <x:col min="29" max="29" width="13" hidden="0" customWidth="1"/>
    <x:col min="30" max="30" width="13" hidden="0" customWidth="1"/>
    <x:col min="13" max="13" width="10.5" hidden="0" customWidth="1"/>
    <x:col min="22" max="22" width="10.5" hidden="0" customWidth="1"/>
    <x:col min="31" max="31" width="10.5" hidden="0" customWidth="1"/>
    <x:col min="32" max="32" width="9.25" hidden="0" customWidth="1"/>
    <x:col min="33" max="33" width="9.25" hidden="0" customWidth="1"/>
  </x:cols>
  <x:sheetData>
    <x:row r="1" ht="34.5" customHeight="1">
      <x:c r="A1" s="4" t="str">
        <x:v>계약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  <x:c r="Z1" s="4"/>
      <x:c r="AA1" s="4"/>
      <x:c r="AB1" s="4"/>
      <x:c r="AC1" s="4"/>
      <x:c r="AD1" s="4"/>
      <x:c r="AE1" s="4"/>
    </x:row>
    <x:row r="2" ht="22.5" customHeight="1">
      <x:c r="A2" s="8" t="str">
        <x:v>차량 한 줄에서 현재 계약과 과거 계약을 함께 확인합니다. 계약번호는 반드시 입력합니다.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  <x:c r="M2" s="8"/>
      <x:c r="N2" s="8"/>
      <x:c r="O2" s="8"/>
      <x:c r="P2" s="8"/>
      <x:c r="Q2" s="8"/>
      <x:c r="R2" s="8"/>
      <x:c r="S2" s="8"/>
      <x:c r="T2" s="8"/>
      <x:c r="U2" s="8"/>
      <x:c r="V2" s="8"/>
      <x:c r="W2" s="8"/>
      <x:c r="X2" s="8"/>
      <x:c r="Y2" s="8"/>
      <x:c r="Z2" s="8"/>
      <x:c r="AA2" s="8"/>
      <x:c r="AB2" s="8"/>
      <x:c r="AC2" s="8"/>
      <x:c r="AD2" s="8"/>
      <x:c r="AE2" s="8"/>
    </x:row>
    <x:row r="3">
      <x:c r="A3" s="58" t="str">
        <x:v>번호</x:v>
      </x:c>
      <x:c r="B3" s="59" t="str">
        <x:v>차번</x:v>
      </x:c>
      <x:c r="C3" s="59" t="str">
        <x:v>차종</x:v>
      </x:c>
      <x:c r="D3" s="60" t="str">
        <x:v>소속</x:v>
      </x:c>
      <x:c r="E3" s="79" t="str">
        <x:v>현재 계약</x:v>
      </x:c>
      <x:c r="F3" s="80"/>
      <x:c r="G3" s="80"/>
      <x:c r="H3" s="80"/>
      <x:c r="I3" s="80"/>
      <x:c r="J3" s="80"/>
      <x:c r="K3" s="80"/>
      <x:c r="L3" s="80"/>
      <x:c r="M3" s="81"/>
      <x:c r="N3" s="105" t="str">
        <x:v>직전 계약</x:v>
      </x:c>
      <x:c r="O3" s="106"/>
      <x:c r="P3" s="106"/>
      <x:c r="Q3" s="106"/>
      <x:c r="R3" s="106"/>
      <x:c r="S3" s="106"/>
      <x:c r="T3" s="106"/>
      <x:c r="U3" s="106"/>
      <x:c r="V3" s="107"/>
      <x:c r="W3" s="129" t="str">
        <x:v>그 전 계약</x:v>
      </x:c>
      <x:c r="X3" s="130"/>
      <x:c r="Y3" s="130"/>
      <x:c r="Z3" s="130"/>
      <x:c r="AA3" s="130"/>
      <x:c r="AB3" s="130"/>
      <x:c r="AC3" s="130"/>
      <x:c r="AD3" s="130"/>
      <x:c r="AE3" s="131"/>
    </x:row>
    <x:row r="4">
      <x:c r="A4" s="22"/>
      <x:c r="B4" s="23"/>
      <x:c r="C4" s="23"/>
      <x:c r="D4" s="24"/>
      <x:c r="E4" s="82" t="str">
        <x:v>구분</x:v>
      </x:c>
      <x:c r="F4" s="83" t="str">
        <x:v>계약번호</x:v>
      </x:c>
      <x:c r="G4" s="83" t="str">
        <x:v>고객명</x:v>
      </x:c>
      <x:c r="H4" s="83" t="str">
        <x:v>인도일자</x:v>
      </x:c>
      <x:c r="I4" s="83" t="str">
        <x:v>종료일자</x:v>
      </x:c>
      <x:c r="J4" s="83" t="str">
        <x:v>반납일자</x:v>
      </x:c>
      <x:c r="K4" s="83" t="str">
        <x:v>대여료</x:v>
      </x:c>
      <x:c r="L4" s="83" t="str">
        <x:v>보증금</x:v>
      </x:c>
      <x:c r="M4" s="84" t="str">
        <x:v>영업자</x:v>
      </x:c>
      <x:c r="N4" s="108" t="str">
        <x:v>구분</x:v>
      </x:c>
      <x:c r="O4" s="109" t="str">
        <x:v>계약번호</x:v>
      </x:c>
      <x:c r="P4" s="109" t="str">
        <x:v>고객명</x:v>
      </x:c>
      <x:c r="Q4" s="109" t="str">
        <x:v>인도일자</x:v>
      </x:c>
      <x:c r="R4" s="109" t="str">
        <x:v>종료일자</x:v>
      </x:c>
      <x:c r="S4" s="109" t="str">
        <x:v>반납일자</x:v>
      </x:c>
      <x:c r="T4" s="109" t="str">
        <x:v>대여료</x:v>
      </x:c>
      <x:c r="U4" s="109" t="str">
        <x:v>보증금</x:v>
      </x:c>
      <x:c r="V4" s="110" t="str">
        <x:v>영업자</x:v>
      </x:c>
      <x:c r="W4" s="132" t="str">
        <x:v>구분</x:v>
      </x:c>
      <x:c r="X4" s="133" t="str">
        <x:v>계약번호</x:v>
      </x:c>
      <x:c r="Y4" s="133" t="str">
        <x:v>고객명</x:v>
      </x:c>
      <x:c r="Z4" s="133" t="str">
        <x:v>인도일자</x:v>
      </x:c>
      <x:c r="AA4" s="133" t="str">
        <x:v>종료일자</x:v>
      </x:c>
      <x:c r="AB4" s="133" t="str">
        <x:v>반납일자</x:v>
      </x:c>
      <x:c r="AC4" s="133" t="str">
        <x:v>대여료</x:v>
      </x:c>
      <x:c r="AD4" s="133" t="str">
        <x:v>보증금</x:v>
      </x:c>
      <x:c r="AE4" s="134" t="str">
        <x:v>영업자</x:v>
      </x:c>
      <x:c r="AF4" s="30" t="str">
        <x:v>잔여개월
(자동)</x:v>
      </x:c>
      <x:c r="AG4" s="30" t="str">
        <x:v>만료구간
(자동)</x:v>
      </x:c>
    </x:row>
    <x:row r="5" ht="18" customHeight="1">
      <x:c r="A5" s="40" t="n">
        <x:v>1</x:v>
      </x:c>
      <x:c r="B5" s="37" t="str">
        <x:v>231가4820</x:v>
      </x:c>
      <x:c r="C5" s="37" t="str">
        <x:v>그랜저 IG</x:v>
      </x:c>
      <x:c r="D5" s="40" t="str">
        <x:v>본사</x:v>
      </x:c>
      <x:c r="E5" s="40" t="str">
        <x:v>개인</x:v>
      </x:c>
      <x:c r="F5" s="37" t="str">
        <x:v>SP-2411-001</x:v>
      </x:c>
      <x:c r="G5" s="37" t="str">
        <x:v>김성호</x:v>
      </x:c>
      <x:c r="H5" s="137" t="n">
        <x:v>45601</x:v>
      </x:c>
      <x:c r="I5" s="137" t="n">
        <x:v>46330</x:v>
      </x:c>
      <x:c r="J5" s="137" t="str"/>
      <x:c r="K5" s="143" t="n">
        <x:v>890000</x:v>
      </x:c>
      <x:c r="L5" s="143" t="n">
        <x:v>3000000</x:v>
      </x:c>
      <x:c r="M5" s="37" t="str">
        <x:v>정우석</x:v>
      </x:c>
      <x:c r="N5" s="37" t="str">
        <x:v>법인</x:v>
      </x:c>
      <x:c r="O5" s="37" t="str">
        <x:v>SP-2210-014</x:v>
      </x:c>
      <x:c r="P5" s="37" t="str">
        <x:v>대성물류</x:v>
      </x:c>
      <x:c r="Q5" s="137" t="n">
        <x:v>44835</x:v>
      </x:c>
      <x:c r="R5" s="137" t="n">
        <x:v>45565</x:v>
      </x:c>
      <x:c r="S5" s="137" t="n">
        <x:v>45583</x:v>
      </x:c>
      <x:c r="T5" s="143" t="n">
        <x:v>870000</x:v>
      </x:c>
      <x:c r="U5" s="143" t="n">
        <x:v>3000000</x:v>
      </x:c>
      <x:c r="V5" s="37" t="str">
        <x:v>한지훈</x:v>
      </x:c>
      <x:c r="W5" s="37" t="str"/>
      <x:c r="X5" s="37" t="str"/>
      <x:c r="Y5" s="37" t="str"/>
      <x:c r="Z5" s="137" t="str"/>
      <x:c r="AA5" s="137" t="str"/>
      <x:c r="AB5" s="137" t="str"/>
      <x:c r="AC5" s="143" t="str"/>
      <x:c r="AD5" s="143" t="str"/>
      <x:c r="AE5" s="37" t="str"/>
      <x:c r="AF5" s="48" t="n">
        <x:f>IF(OR(G5="",I5="",J5&lt;&gt;""),"",IF(I5&lt;'요약'!$B$2,"만료",(YEAR(I5)-YEAR('요약'!$B$2))*12+MONTH(I5)-MONTH('요약'!$B$2)))</x:f>
        <x:v>3</x:v>
      </x:c>
      <x:c r="AG5" s="48" t="str">
        <x:f>IF(G5="","",IF(AF5="만료","만료",IF(AF5=0,"이달",IF(AF5=1,"다음달",IF(AF5&lt;=3,"3개월 내","장기")))))</x:f>
        <x:v>3개월 내</x:v>
      </x:c>
    </x:row>
    <x:row r="6" ht="18" customHeight="1">
      <x:c r="A6" s="41" t="n">
        <x:v>2</x:v>
      </x:c>
      <x:c r="B6" s="38" t="str">
        <x:v>45나7719</x:v>
      </x:c>
      <x:c r="C6" s="38" t="str">
        <x:v>카니발 하이리무진</x:v>
      </x:c>
      <x:c r="D6" s="41" t="str">
        <x:v>본사</x:v>
      </x:c>
      <x:c r="E6" s="41" t="str">
        <x:v>개인</x:v>
      </x:c>
      <x:c r="F6" s="38" t="str">
        <x:v>SP-2503-006</x:v>
      </x:c>
      <x:c r="G6" s="38" t="str">
        <x:v>이재원</x:v>
      </x:c>
      <x:c r="H6" s="138" t="n">
        <x:v>45734</x:v>
      </x:c>
      <x:c r="I6" s="138" t="n">
        <x:v>46463</x:v>
      </x:c>
      <x:c r="J6" s="138" t="str"/>
      <x:c r="K6" s="144" t="n">
        <x:v>1150000</x:v>
      </x:c>
      <x:c r="L6" s="144" t="n">
        <x:v>5000000</x:v>
      </x:c>
      <x:c r="M6" s="38" t="str">
        <x:v>한지훈</x:v>
      </x:c>
      <x:c r="N6" s="38" t="str">
        <x:v>개인</x:v>
      </x:c>
      <x:c r="O6" s="38" t="str">
        <x:v>SP-2302-009</x:v>
      </x:c>
      <x:c r="P6" s="38" t="str">
        <x:v>최우진</x:v>
      </x:c>
      <x:c r="Q6" s="138" t="n">
        <x:v>44977</x:v>
      </x:c>
      <x:c r="R6" s="138" t="n">
        <x:v>45707</x:v>
      </x:c>
      <x:c r="S6" s="138" t="n">
        <x:v>45722</x:v>
      </x:c>
      <x:c r="T6" s="144" t="n">
        <x:v>1100000</x:v>
      </x:c>
      <x:c r="U6" s="144" t="n">
        <x:v>4000000</x:v>
      </x:c>
      <x:c r="V6" s="38" t="str">
        <x:v>정우석</x:v>
      </x:c>
      <x:c r="W6" s="38" t="str">
        <x:v>개인</x:v>
      </x:c>
      <x:c r="X6" s="38" t="str">
        <x:v>SP-2205-003</x:v>
      </x:c>
      <x:c r="Y6" s="38" t="str">
        <x:v>서정민</x:v>
      </x:c>
      <x:c r="Z6" s="138" t="n">
        <x:v>44692</x:v>
      </x:c>
      <x:c r="AA6" s="138" t="n">
        <x:v>44967</x:v>
      </x:c>
      <x:c r="AB6" s="138" t="n">
        <x:v>44971</x:v>
      </x:c>
      <x:c r="AC6" s="144" t="n">
        <x:v>1080000</x:v>
      </x:c>
      <x:c r="AD6" s="144" t="n">
        <x:v>4000000</x:v>
      </x:c>
      <x:c r="AE6" s="38" t="str">
        <x:v>한지훈</x:v>
      </x:c>
      <x:c r="AF6" s="48" t="n">
        <x:f>IF(OR(G6="",I6="",J6&lt;&gt;""),"",IF(I6&lt;'요약'!$B$2,"만료",(YEAR(I6)-YEAR('요약'!$B$2))*12+MONTH(I6)-MONTH('요약'!$B$2)))</x:f>
        <x:v>7</x:v>
      </x:c>
      <x:c r="AG6" s="48" t="str">
        <x:f>IF(G6="","",IF(AF6="만료","만료",IF(AF6=0,"이달",IF(AF6=1,"다음달",IF(AF6&lt;=3,"3개월 내","장기")))))</x:f>
        <x:v>장기</x:v>
      </x:c>
    </x:row>
    <x:row r="7" ht="18" customHeight="1">
      <x:c r="A7" s="41" t="n">
        <x:v>3</x:v>
      </x:c>
      <x:c r="B7" s="38" t="str">
        <x:v>03머0389</x:v>
      </x:c>
      <x:c r="C7" s="38" t="str">
        <x:v>K5 DL3</x:v>
      </x:c>
      <x:c r="D7" s="41" t="str">
        <x:v>본사</x:v>
      </x:c>
      <x:c r="E7" s="41" t="str">
        <x:v>장기렌트</x:v>
      </x:c>
      <x:c r="F7" s="38" t="str">
        <x:v>SP-2506-002</x:v>
      </x:c>
      <x:c r="G7" s="38" t="str">
        <x:v>박민정</x:v>
      </x:c>
      <x:c r="H7" s="138" t="n">
        <x:v>45809</x:v>
      </x:c>
      <x:c r="I7" s="138" t="n">
        <x:v>46295</x:v>
      </x:c>
      <x:c r="J7" s="138" t="str"/>
      <x:c r="K7" s="144" t="n">
        <x:v>1030000</x:v>
      </x:c>
      <x:c r="L7" s="144" t="n">
        <x:v>2000000</x:v>
      </x:c>
      <x:c r="M7" s="38" t="str">
        <x:v>정우석</x:v>
      </x:c>
      <x:c r="N7" s="38" t="str">
        <x:v>개인</x:v>
      </x:c>
      <x:c r="O7" s="38" t="str">
        <x:v>SP-2305-004</x:v>
      </x:c>
      <x:c r="P7" s="38" t="str">
        <x:v>강현수</x:v>
      </x:c>
      <x:c r="Q7" s="138" t="n">
        <x:v>45054</x:v>
      </x:c>
      <x:c r="R7" s="138" t="n">
        <x:v>45784</x:v>
      </x:c>
      <x:c r="S7" s="138" t="n">
        <x:v>45801</x:v>
      </x:c>
      <x:c r="T7" s="144" t="n">
        <x:v>660000</x:v>
      </x:c>
      <x:c r="U7" s="144" t="n">
        <x:v>2000000</x:v>
      </x:c>
      <x:c r="V7" s="38" t="str">
        <x:v>정우석</x:v>
      </x:c>
      <x:c r="W7" s="38" t="str"/>
      <x:c r="X7" s="38" t="str"/>
      <x:c r="Y7" s="38" t="str"/>
      <x:c r="Z7" s="138" t="str"/>
      <x:c r="AA7" s="138" t="str"/>
      <x:c r="AB7" s="138" t="str"/>
      <x:c r="AC7" s="144" t="str"/>
      <x:c r="AD7" s="144" t="str"/>
      <x:c r="AE7" s="38" t="str"/>
      <x:c r="AF7" s="48" t="n">
        <x:f>IF(OR(G7="",I7="",J7&lt;&gt;""),"",IF(I7&lt;'요약'!$B$2,"만료",(YEAR(I7)-YEAR('요약'!$B$2))*12+MONTH(I7)-MONTH('요약'!$B$2)))</x:f>
        <x:v>1</x:v>
      </x:c>
      <x:c r="AG7" s="48" t="str">
        <x:f>IF(G7="","",IF(AF7="만료","만료",IF(AF7=0,"이달",IF(AF7=1,"다음달",IF(AF7&lt;=3,"3개월 내","장기")))))</x:f>
        <x:v>다음달</x:v>
      </x:c>
    </x:row>
    <x:row r="8" ht="18" customHeight="1">
      <x:c r="A8" s="41" t="n">
        <x:v>4</x:v>
      </x:c>
      <x:c r="B8" s="38" t="str">
        <x:v>187허2264</x:v>
      </x:c>
      <x:c r="C8" s="38" t="str">
        <x:v>셀토스</x:v>
      </x:c>
      <x:c r="D8" s="41" t="str">
        <x:v>본사</x:v>
      </x:c>
      <x:c r="E8" s="41" t="str"/>
      <x:c r="F8" s="38" t="str"/>
      <x:c r="G8" s="38" t="str"/>
      <x:c r="H8" s="138" t="str"/>
      <x:c r="I8" s="138" t="str"/>
      <x:c r="J8" s="138" t="str"/>
      <x:c r="K8" s="144" t="str"/>
      <x:c r="L8" s="144" t="str"/>
      <x:c r="M8" s="38" t="str"/>
      <x:c r="N8" s="38" t="str"/>
      <x:c r="O8" s="38" t="str"/>
      <x:c r="P8" s="38" t="str"/>
      <x:c r="Q8" s="138" t="str"/>
      <x:c r="R8" s="138" t="str"/>
      <x:c r="S8" s="138" t="str"/>
      <x:c r="T8" s="144" t="str"/>
      <x:c r="U8" s="144" t="str"/>
      <x:c r="V8" s="38" t="str"/>
      <x:c r="W8" s="38" t="str"/>
      <x:c r="X8" s="38" t="str"/>
      <x:c r="Y8" s="38" t="str"/>
      <x:c r="Z8" s="138" t="str"/>
      <x:c r="AA8" s="138" t="str"/>
      <x:c r="AB8" s="138" t="str"/>
      <x:c r="AC8" s="144" t="str"/>
      <x:c r="AD8" s="144" t="str"/>
      <x:c r="AE8" s="38" t="str"/>
      <x:c r="AF8" s="48" t="str">
        <x:f>IF(OR(G8="",I8="",J8&lt;&gt;""),"",IF(I8&lt;'요약'!$B$2,"만료",(YEAR(I8)-YEAR('요약'!$B$2))*12+MONTH(I8)-MONTH('요약'!$B$2)))</x:f>
      </x:c>
      <x:c r="AG8" s="48" t="str">
        <x:f>IF(G8="","",IF(AF8="만료","만료",IF(AF8=0,"이달",IF(AF8=1,"다음달",IF(AF8&lt;=3,"3개월 내","장기")))))</x:f>
      </x:c>
    </x:row>
    <x:row r="9" ht="18" customHeight="1">
      <x:c r="A9" s="41" t="n">
        <x:v>5</x:v>
      </x:c>
      <x:c r="B9" s="38" t="str">
        <x:v>92소5513</x:v>
      </x:c>
      <x:c r="C9" s="38" t="str">
        <x:v>스타리아 라운지</x:v>
      </x:c>
      <x:c r="D9" s="41" t="str">
        <x:v>본사</x:v>
      </x:c>
      <x:c r="E9" s="41" t="str">
        <x:v>법인</x:v>
      </x:c>
      <x:c r="F9" s="38" t="str">
        <x:v>SP-2509-010</x:v>
      </x:c>
      <x:c r="G9" s="38" t="str">
        <x:v>오세영</x:v>
      </x:c>
      <x:c r="H9" s="138" t="n">
        <x:v>45922</x:v>
      </x:c>
      <x:c r="I9" s="138" t="n">
        <x:v>46651</x:v>
      </x:c>
      <x:c r="J9" s="138" t="str"/>
      <x:c r="K9" s="144" t="n">
        <x:v>1020000</x:v>
      </x:c>
      <x:c r="L9" s="144" t="n">
        <x:v>4000000</x:v>
      </x:c>
      <x:c r="M9" s="38" t="str">
        <x:v>한지훈</x:v>
      </x:c>
      <x:c r="N9" s="38" t="str"/>
      <x:c r="O9" s="38" t="str"/>
      <x:c r="P9" s="38" t="str"/>
      <x:c r="Q9" s="138" t="str"/>
      <x:c r="R9" s="138" t="str"/>
      <x:c r="S9" s="138" t="str"/>
      <x:c r="T9" s="144" t="str"/>
      <x:c r="U9" s="144" t="str"/>
      <x:c r="V9" s="38" t="str"/>
      <x:c r="W9" s="38" t="str"/>
      <x:c r="X9" s="38" t="str"/>
      <x:c r="Y9" s="38" t="str"/>
      <x:c r="Z9" s="138" t="str"/>
      <x:c r="AA9" s="138" t="str"/>
      <x:c r="AB9" s="138" t="str"/>
      <x:c r="AC9" s="144" t="str"/>
      <x:c r="AD9" s="144" t="str"/>
      <x:c r="AE9" s="38" t="str"/>
      <x:c r="AF9" s="48" t="n">
        <x:f>IF(OR(G9="",I9="",J9&lt;&gt;""),"",IF(I9&lt;'요약'!$B$2,"만료",(YEAR(I9)-YEAR('요약'!$B$2))*12+MONTH(I9)-MONTH('요약'!$B$2)))</x:f>
        <x:v>13</x:v>
      </x:c>
      <x:c r="AG9" s="48" t="str">
        <x:f>IF(G9="","",IF(AF9="만료","만료",IF(AF9=0,"이달",IF(AF9=1,"다음달",IF(AF9&lt;=3,"3개월 내","장기")))))</x:f>
        <x:v>장기</x:v>
      </x:c>
    </x:row>
    <x:row r="10" ht="18" customHeight="1">
      <x:c r="A10" s="41" t="n">
        <x:v>6</x:v>
      </x:c>
      <x:c r="B10" s="38" t="str">
        <x:v>318수9047</x:v>
      </x:c>
      <x:c r="C10" s="38" t="str">
        <x:v>아반떼 CN7</x:v>
      </x:c>
      <x:c r="D10" s="41" t="str">
        <x:v>본사</x:v>
      </x:c>
      <x:c r="E10" s="41" t="str">
        <x:v>개인</x:v>
      </x:c>
      <x:c r="F10" s="38" t="str">
        <x:v>SP-2407-011</x:v>
      </x:c>
      <x:c r="G10" s="38" t="str">
        <x:v>장태윤</x:v>
      </x:c>
      <x:c r="H10" s="138" t="n">
        <x:v>45503</x:v>
      </x:c>
      <x:c r="I10" s="138" t="n">
        <x:v>46232</x:v>
      </x:c>
      <x:c r="J10" s="138" t="str"/>
      <x:c r="K10" s="144" t="n">
        <x:v>560000</x:v>
      </x:c>
      <x:c r="L10" s="144" t="n">
        <x:v>1500000</x:v>
      </x:c>
      <x:c r="M10" s="38" t="str">
        <x:v>정우석</x:v>
      </x:c>
      <x:c r="N10" s="38" t="str"/>
      <x:c r="O10" s="38" t="str"/>
      <x:c r="P10" s="38" t="str"/>
      <x:c r="Q10" s="138" t="str"/>
      <x:c r="R10" s="138" t="str"/>
      <x:c r="S10" s="138" t="str"/>
      <x:c r="T10" s="144" t="str"/>
      <x:c r="U10" s="144" t="str"/>
      <x:c r="V10" s="38" t="str"/>
      <x:c r="W10" s="38" t="str"/>
      <x:c r="X10" s="38" t="str"/>
      <x:c r="Y10" s="38" t="str"/>
      <x:c r="Z10" s="138" t="str"/>
      <x:c r="AA10" s="138" t="str"/>
      <x:c r="AB10" s="138" t="str"/>
      <x:c r="AC10" s="144" t="str"/>
      <x:c r="AD10" s="144" t="str"/>
      <x:c r="AE10" s="38" t="str"/>
      <x:c r="AF10" s="48" t="str">
        <x:f>IF(OR(G10="",I10="",J10&lt;&gt;""),"",IF(I10&lt;'요약'!$B$2,"만료",(YEAR(I10)-YEAR('요약'!$B$2))*12+MONTH(I10)-MONTH('요약'!$B$2)))</x:f>
        <x:v>만료</x:v>
      </x:c>
      <x:c r="AG10" s="48" t="str">
        <x:f>IF(G10="","",IF(AF10="만료","만료",IF(AF10=0,"이달",IF(AF10=1,"다음달",IF(AF10&lt;=3,"3개월 내","장기")))))</x:f>
        <x:v>만료</x:v>
      </x:c>
    </x:row>
    <x:row r="11" ht="18" customHeight="1">
      <x:c r="A11" s="41" t="n">
        <x:v>7</x:v>
      </x:c>
      <x:c r="B11" s="38" t="str">
        <x:v>76조1188</x:v>
      </x:c>
      <x:c r="C11" s="38" t="str">
        <x:v>쏘렌토 MQ4</x:v>
      </x:c>
      <x:c r="D11" s="41" t="str">
        <x:v>본사</x:v>
      </x:c>
      <x:c r="E11" s="41" t="str"/>
      <x:c r="F11" s="38" t="str"/>
      <x:c r="G11" s="38" t="str"/>
      <x:c r="H11" s="138" t="str"/>
      <x:c r="I11" s="138" t="str"/>
      <x:c r="J11" s="138" t="str"/>
      <x:c r="K11" s="144" t="str"/>
      <x:c r="L11" s="144" t="str"/>
      <x:c r="M11" s="38" t="str"/>
      <x:c r="N11" s="38" t="str"/>
      <x:c r="O11" s="38" t="str"/>
      <x:c r="P11" s="38" t="str"/>
      <x:c r="Q11" s="138" t="str"/>
      <x:c r="R11" s="138" t="str"/>
      <x:c r="S11" s="138" t="str"/>
      <x:c r="T11" s="144" t="str"/>
      <x:c r="U11" s="144" t="str"/>
      <x:c r="V11" s="38" t="str"/>
      <x:c r="W11" s="38" t="str"/>
      <x:c r="X11" s="38" t="str"/>
      <x:c r="Y11" s="38" t="str"/>
      <x:c r="Z11" s="138" t="str"/>
      <x:c r="AA11" s="138" t="str"/>
      <x:c r="AB11" s="138" t="str"/>
      <x:c r="AC11" s="144" t="str"/>
      <x:c r="AD11" s="144" t="str"/>
      <x:c r="AE11" s="38" t="str"/>
      <x:c r="AF11" s="48" t="str">
        <x:f>IF(OR(G11="",I11="",J11&lt;&gt;""),"",IF(I11&lt;'요약'!$B$2,"만료",(YEAR(I11)-YEAR('요약'!$B$2))*12+MONTH(I11)-MONTH('요약'!$B$2)))</x:f>
      </x:c>
      <x:c r="AG11" s="48" t="str">
        <x:f>IF(G11="","",IF(AF11="만료","만료",IF(AF11=0,"이달",IF(AF11=1,"다음달",IF(AF11&lt;=3,"3개월 내","장기")))))</x:f>
      </x:c>
    </x:row>
    <x:row r="12" ht="18" customHeight="1">
      <x:c r="A12" s="41" t="n">
        <x:v>8</x:v>
      </x:c>
      <x:c r="B12" s="38" t="str">
        <x:v>264라3396</x:v>
      </x:c>
      <x:c r="C12" s="38" t="str">
        <x:v>팰리세이드</x:v>
      </x:c>
      <x:c r="D12" s="41" t="str">
        <x:v>본사</x:v>
      </x:c>
      <x:c r="E12" s="41" t="str">
        <x:v>법인</x:v>
      </x:c>
      <x:c r="F12" s="38" t="str">
        <x:v>SP-2512-008</x:v>
      </x:c>
      <x:c r="G12" s="38" t="str">
        <x:v>윤도현</x:v>
      </x:c>
      <x:c r="H12" s="138" t="n">
        <x:v>46002</x:v>
      </x:c>
      <x:c r="I12" s="138" t="n">
        <x:v>46731</x:v>
      </x:c>
      <x:c r="J12" s="138" t="str"/>
      <x:c r="K12" s="144" t="n">
        <x:v>1280000</x:v>
      </x:c>
      <x:c r="L12" s="144" t="n">
        <x:v>5000000</x:v>
      </x:c>
      <x:c r="M12" s="38" t="str">
        <x:v>한지훈</x:v>
      </x:c>
      <x:c r="N12" s="38" t="str"/>
      <x:c r="O12" s="38" t="str"/>
      <x:c r="P12" s="38" t="str"/>
      <x:c r="Q12" s="138" t="str"/>
      <x:c r="R12" s="138" t="str"/>
      <x:c r="S12" s="138" t="str"/>
      <x:c r="T12" s="144" t="str"/>
      <x:c r="U12" s="144" t="str"/>
      <x:c r="V12" s="38" t="str"/>
      <x:c r="W12" s="38" t="str"/>
      <x:c r="X12" s="38" t="str"/>
      <x:c r="Y12" s="38" t="str"/>
      <x:c r="Z12" s="138" t="str"/>
      <x:c r="AA12" s="138" t="str"/>
      <x:c r="AB12" s="138" t="str"/>
      <x:c r="AC12" s="144" t="str"/>
      <x:c r="AD12" s="144" t="str"/>
      <x:c r="AE12" s="38" t="str"/>
      <x:c r="AF12" s="48" t="n">
        <x:f>IF(OR(G12="",I12="",J12&lt;&gt;""),"",IF(I12&lt;'요약'!$B$2,"만료",(YEAR(I12)-YEAR('요약'!$B$2))*12+MONTH(I12)-MONTH('요약'!$B$2)))</x:f>
        <x:v>16</x:v>
      </x:c>
      <x:c r="AG12" s="48" t="str">
        <x:f>IF(G12="","",IF(AF12="만료","만료",IF(AF12=0,"이달",IF(AF12=1,"다음달",IF(AF12&lt;=3,"3개월 내","장기")))))</x:f>
        <x:v>장기</x:v>
      </x:c>
    </x:row>
    <x:row r="13" ht="18" customHeight="1">
      <x:c r="A13" s="41" t="n">
        <x:v>9</x:v>
      </x:c>
      <x:c r="B13" s="38" t="str">
        <x:v>509부7731</x:v>
      </x:c>
      <x:c r="C13" s="38" t="str">
        <x:v>모닝 JA</x:v>
      </x:c>
      <x:c r="D13" s="41" t="str">
        <x:v>본사</x:v>
      </x:c>
      <x:c r="E13" s="41" t="str"/>
      <x:c r="F13" s="38" t="str"/>
      <x:c r="G13" s="38" t="str"/>
      <x:c r="H13" s="138" t="str"/>
      <x:c r="I13" s="138" t="str"/>
      <x:c r="J13" s="138" t="str"/>
      <x:c r="K13" s="144" t="str"/>
      <x:c r="L13" s="144" t="str"/>
      <x:c r="M13" s="38" t="str"/>
      <x:c r="N13" s="38" t="str">
        <x:v>월렌트</x:v>
      </x:c>
      <x:c r="O13" s="38" t="str">
        <x:v>SP-2502-017</x:v>
      </x:c>
      <x:c r="P13" s="38" t="str">
        <x:v>정하늘</x:v>
      </x:c>
      <x:c r="Q13" s="138" t="n">
        <x:v>45693</x:v>
      </x:c>
      <x:c r="R13" s="138" t="n">
        <x:v>46057</x:v>
      </x:c>
      <x:c r="S13" s="138" t="n">
        <x:v>46064</x:v>
      </x:c>
      <x:c r="T13" s="144" t="n">
        <x:v>560000</x:v>
      </x:c>
      <x:c r="U13" s="144" t="n">
        <x:v>1000000</x:v>
      </x:c>
      <x:c r="V13" s="38" t="str">
        <x:v>정우석</x:v>
      </x:c>
      <x:c r="W13" s="38" t="str"/>
      <x:c r="X13" s="38" t="str"/>
      <x:c r="Y13" s="38" t="str"/>
      <x:c r="Z13" s="138" t="str"/>
      <x:c r="AA13" s="138" t="str"/>
      <x:c r="AB13" s="138" t="str"/>
      <x:c r="AC13" s="144" t="str"/>
      <x:c r="AD13" s="144" t="str"/>
      <x:c r="AE13" s="38" t="str"/>
      <x:c r="AF13" s="48" t="str">
        <x:f>IF(OR(G13="",I13="",J13&lt;&gt;""),"",IF(I13&lt;'요약'!$B$2,"만료",(YEAR(I13)-YEAR('요약'!$B$2))*12+MONTH(I13)-MONTH('요약'!$B$2)))</x:f>
      </x:c>
      <x:c r="AG13" s="48" t="str">
        <x:f>IF(G13="","",IF(AF13="만료","만료",IF(AF13=0,"이달",IF(AF13=1,"다음달",IF(AF13&lt;=3,"3개월 내","장기")))))</x:f>
      </x:c>
    </x:row>
    <x:row r="14" ht="18" customHeight="1">
      <x:c r="A14" s="41" t="n">
        <x:v>10</x:v>
      </x:c>
      <x:c r="B14" s="38" t="str">
        <x:v>140머6628</x:v>
      </x:c>
      <x:c r="C14" s="38" t="str">
        <x:v>아반떼 AD</x:v>
      </x:c>
      <x:c r="D14" s="41" t="str">
        <x:v>본사</x:v>
      </x:c>
      <x:c r="E14" s="41" t="str"/>
      <x:c r="F14" s="38" t="str"/>
      <x:c r="G14" s="38" t="str"/>
      <x:c r="H14" s="138" t="str"/>
      <x:c r="I14" s="138" t="str"/>
      <x:c r="J14" s="138" t="str"/>
      <x:c r="K14" s="144" t="str"/>
      <x:c r="L14" s="144" t="str"/>
      <x:c r="M14" s="38" t="str"/>
      <x:c r="N14" s="38" t="str">
        <x:v>개인</x:v>
      </x:c>
      <x:c r="O14" s="38" t="str">
        <x:v>SP-2301-002</x:v>
      </x:c>
      <x:c r="P14" s="38" t="str">
        <x:v>한대수</x:v>
      </x:c>
      <x:c r="Q14" s="138" t="n">
        <x:v>44938</x:v>
      </x:c>
      <x:c r="R14" s="138" t="n">
        <x:v>45991</x:v>
      </x:c>
      <x:c r="S14" s="138" t="n">
        <x:v>45995</x:v>
      </x:c>
      <x:c r="T14" s="144" t="n">
        <x:v>520000</x:v>
      </x:c>
      <x:c r="U14" s="144" t="n">
        <x:v>1000000</x:v>
      </x:c>
      <x:c r="V14" s="38" t="str">
        <x:v>한지훈</x:v>
      </x:c>
      <x:c r="W14" s="38" t="str"/>
      <x:c r="X14" s="38" t="str"/>
      <x:c r="Y14" s="38" t="str"/>
      <x:c r="Z14" s="138" t="str"/>
      <x:c r="AA14" s="138" t="str"/>
      <x:c r="AB14" s="138" t="str"/>
      <x:c r="AC14" s="144" t="str"/>
      <x:c r="AD14" s="144" t="str"/>
      <x:c r="AE14" s="38" t="str"/>
      <x:c r="AF14" s="48" t="str">
        <x:f>IF(OR(G14="",I14="",J14&lt;&gt;""),"",IF(I14&lt;'요약'!$B$2,"만료",(YEAR(I14)-YEAR('요약'!$B$2))*12+MONTH(I14)-MONTH('요약'!$B$2)))</x:f>
      </x:c>
      <x:c r="AG14" s="48" t="str">
        <x:f>IF(G14="","",IF(AF14="만료","만료",IF(AF14=0,"이달",IF(AF14=1,"다음달",IF(AF14&lt;=3,"3개월 내","장기")))))</x:f>
      </x:c>
    </x:row>
    <x:row r="15" ht="18" customHeight="1">
      <x:c r="A15" s="41"/>
      <x:c r="B15" s="38"/>
      <x:c r="C15" s="38"/>
      <x:c r="D15" s="41"/>
      <x:c r="E15" s="41"/>
      <x:c r="F15" s="38"/>
      <x:c r="G15" s="38"/>
      <x:c r="H15" s="138"/>
      <x:c r="I15" s="138"/>
      <x:c r="J15" s="138"/>
      <x:c r="K15" s="144"/>
      <x:c r="L15" s="144"/>
      <x:c r="M15" s="38"/>
      <x:c r="N15" s="38"/>
      <x:c r="O15" s="38"/>
      <x:c r="P15" s="38"/>
      <x:c r="Q15" s="138"/>
      <x:c r="R15" s="138"/>
      <x:c r="S15" s="138"/>
      <x:c r="T15" s="144"/>
      <x:c r="U15" s="144"/>
      <x:c r="V15" s="38"/>
      <x:c r="W15" s="38"/>
      <x:c r="X15" s="38"/>
      <x:c r="Y15" s="38"/>
      <x:c r="Z15" s="138"/>
      <x:c r="AA15" s="138"/>
      <x:c r="AB15" s="138"/>
      <x:c r="AC15" s="144"/>
      <x:c r="AD15" s="144"/>
      <x:c r="AE15" s="38"/>
      <x:c r="AF15" s="48" t="str">
        <x:f>IF(OR(G15="",I15="",J15&lt;&gt;""),"",IF(I15&lt;'요약'!$B$2,"만료",(YEAR(I15)-YEAR('요약'!$B$2))*12+MONTH(I15)-MONTH('요약'!$B$2)))</x:f>
      </x:c>
      <x:c r="AG15" s="48" t="str">
        <x:f>IF(G15="","",IF(AF15="만료","만료",IF(AF15=0,"이달",IF(AF15=1,"다음달",IF(AF15&lt;=3,"3개월 내","장기")))))</x:f>
      </x:c>
    </x:row>
    <x:row r="16" ht="18" customHeight="1">
      <x:c r="A16" s="41"/>
      <x:c r="B16" s="38"/>
      <x:c r="C16" s="38"/>
      <x:c r="D16" s="41"/>
      <x:c r="E16" s="41"/>
      <x:c r="F16" s="38"/>
      <x:c r="G16" s="38"/>
      <x:c r="H16" s="138"/>
      <x:c r="I16" s="138"/>
      <x:c r="J16" s="138"/>
      <x:c r="K16" s="144"/>
      <x:c r="L16" s="144"/>
      <x:c r="M16" s="38"/>
      <x:c r="N16" s="38"/>
      <x:c r="O16" s="38"/>
      <x:c r="P16" s="38"/>
      <x:c r="Q16" s="138"/>
      <x:c r="R16" s="138"/>
      <x:c r="S16" s="138"/>
      <x:c r="T16" s="144"/>
      <x:c r="U16" s="144"/>
      <x:c r="V16" s="38"/>
      <x:c r="W16" s="38"/>
      <x:c r="X16" s="38"/>
      <x:c r="Y16" s="38"/>
      <x:c r="Z16" s="138"/>
      <x:c r="AA16" s="138"/>
      <x:c r="AB16" s="138"/>
      <x:c r="AC16" s="144"/>
      <x:c r="AD16" s="144"/>
      <x:c r="AE16" s="38"/>
      <x:c r="AF16" s="48" t="str">
        <x:f>IF(OR(G16="",I16="",J16&lt;&gt;""),"",IF(I16&lt;'요약'!$B$2,"만료",(YEAR(I16)-YEAR('요약'!$B$2))*12+MONTH(I16)-MONTH('요약'!$B$2)))</x:f>
      </x:c>
      <x:c r="AG16" s="48" t="str">
        <x:f>IF(G16="","",IF(AF16="만료","만료",IF(AF16=0,"이달",IF(AF16=1,"다음달",IF(AF16&lt;=3,"3개월 내","장기")))))</x:f>
      </x:c>
    </x:row>
    <x:row r="17" ht="18" customHeight="1">
      <x:c r="A17" s="41"/>
      <x:c r="B17" s="38"/>
      <x:c r="C17" s="38"/>
      <x:c r="D17" s="41"/>
      <x:c r="E17" s="41"/>
      <x:c r="F17" s="38"/>
      <x:c r="G17" s="38"/>
      <x:c r="H17" s="138"/>
      <x:c r="I17" s="138"/>
      <x:c r="J17" s="138"/>
      <x:c r="K17" s="144"/>
      <x:c r="L17" s="144"/>
      <x:c r="M17" s="38"/>
      <x:c r="N17" s="38"/>
      <x:c r="O17" s="38"/>
      <x:c r="P17" s="38"/>
      <x:c r="Q17" s="138"/>
      <x:c r="R17" s="138"/>
      <x:c r="S17" s="138"/>
      <x:c r="T17" s="144"/>
      <x:c r="U17" s="144"/>
      <x:c r="V17" s="38"/>
      <x:c r="W17" s="38"/>
      <x:c r="X17" s="38"/>
      <x:c r="Y17" s="38"/>
      <x:c r="Z17" s="138"/>
      <x:c r="AA17" s="138"/>
      <x:c r="AB17" s="138"/>
      <x:c r="AC17" s="144"/>
      <x:c r="AD17" s="144"/>
      <x:c r="AE17" s="38"/>
      <x:c r="AF17" s="48" t="str">
        <x:f>IF(OR(G17="",I17="",J17&lt;&gt;""),"",IF(I17&lt;'요약'!$B$2,"만료",(YEAR(I17)-YEAR('요약'!$B$2))*12+MONTH(I17)-MONTH('요약'!$B$2)))</x:f>
      </x:c>
      <x:c r="AG17" s="48" t="str">
        <x:f>IF(G17="","",IF(AF17="만료","만료",IF(AF17=0,"이달",IF(AF17=1,"다음달",IF(AF17&lt;=3,"3개월 내","장기")))))</x:f>
      </x:c>
    </x:row>
    <x:row r="18" ht="18" customHeight="1">
      <x:c r="A18" s="41"/>
      <x:c r="B18" s="38"/>
      <x:c r="C18" s="38"/>
      <x:c r="D18" s="41"/>
      <x:c r="E18" s="41"/>
      <x:c r="F18" s="38"/>
      <x:c r="G18" s="38"/>
      <x:c r="H18" s="138"/>
      <x:c r="I18" s="138"/>
      <x:c r="J18" s="138"/>
      <x:c r="K18" s="144"/>
      <x:c r="L18" s="144"/>
      <x:c r="M18" s="38"/>
      <x:c r="N18" s="38"/>
      <x:c r="O18" s="38"/>
      <x:c r="P18" s="38"/>
      <x:c r="Q18" s="138"/>
      <x:c r="R18" s="138"/>
      <x:c r="S18" s="138"/>
      <x:c r="T18" s="144"/>
      <x:c r="U18" s="144"/>
      <x:c r="V18" s="38"/>
      <x:c r="W18" s="38"/>
      <x:c r="X18" s="38"/>
      <x:c r="Y18" s="38"/>
      <x:c r="Z18" s="138"/>
      <x:c r="AA18" s="138"/>
      <x:c r="AB18" s="138"/>
      <x:c r="AC18" s="144"/>
      <x:c r="AD18" s="144"/>
      <x:c r="AE18" s="38"/>
      <x:c r="AF18" s="48" t="str">
        <x:f>IF(OR(G18="",I18="",J18&lt;&gt;""),"",IF(I18&lt;'요약'!$B$2,"만료",(YEAR(I18)-YEAR('요약'!$B$2))*12+MONTH(I18)-MONTH('요약'!$B$2)))</x:f>
      </x:c>
      <x:c r="AG18" s="48" t="str">
        <x:f>IF(G18="","",IF(AF18="만료","만료",IF(AF18=0,"이달",IF(AF18=1,"다음달",IF(AF18&lt;=3,"3개월 내","장기")))))</x:f>
      </x:c>
    </x:row>
    <x:row r="19" ht="18" customHeight="1">
      <x:c r="A19" s="41"/>
      <x:c r="B19" s="38"/>
      <x:c r="C19" s="38"/>
      <x:c r="D19" s="41"/>
      <x:c r="E19" s="41"/>
      <x:c r="F19" s="38"/>
      <x:c r="G19" s="38"/>
      <x:c r="H19" s="138"/>
      <x:c r="I19" s="138"/>
      <x:c r="J19" s="138"/>
      <x:c r="K19" s="144"/>
      <x:c r="L19" s="144"/>
      <x:c r="M19" s="38"/>
      <x:c r="N19" s="38"/>
      <x:c r="O19" s="38"/>
      <x:c r="P19" s="38"/>
      <x:c r="Q19" s="138"/>
      <x:c r="R19" s="138"/>
      <x:c r="S19" s="138"/>
      <x:c r="T19" s="144"/>
      <x:c r="U19" s="144"/>
      <x:c r="V19" s="38"/>
      <x:c r="W19" s="38"/>
      <x:c r="X19" s="38"/>
      <x:c r="Y19" s="38"/>
      <x:c r="Z19" s="138"/>
      <x:c r="AA19" s="138"/>
      <x:c r="AB19" s="138"/>
      <x:c r="AC19" s="144"/>
      <x:c r="AD19" s="144"/>
      <x:c r="AE19" s="38"/>
      <x:c r="AF19" s="48" t="str">
        <x:f>IF(OR(G19="",I19="",J19&lt;&gt;""),"",IF(I19&lt;'요약'!$B$2,"만료",(YEAR(I19)-YEAR('요약'!$B$2))*12+MONTH(I19)-MONTH('요약'!$B$2)))</x:f>
      </x:c>
      <x:c r="AG19" s="48" t="str">
        <x:f>IF(G19="","",IF(AF19="만료","만료",IF(AF19=0,"이달",IF(AF19=1,"다음달",IF(AF19&lt;=3,"3개월 내","장기")))))</x:f>
      </x:c>
    </x:row>
    <x:row r="20" ht="18" customHeight="1">
      <x:c r="A20" s="41"/>
      <x:c r="B20" s="38"/>
      <x:c r="C20" s="38"/>
      <x:c r="D20" s="41"/>
      <x:c r="E20" s="41"/>
      <x:c r="F20" s="38"/>
      <x:c r="G20" s="38"/>
      <x:c r="H20" s="138"/>
      <x:c r="I20" s="138"/>
      <x:c r="J20" s="138"/>
      <x:c r="K20" s="144"/>
      <x:c r="L20" s="144"/>
      <x:c r="M20" s="38"/>
      <x:c r="N20" s="38"/>
      <x:c r="O20" s="38"/>
      <x:c r="P20" s="38"/>
      <x:c r="Q20" s="138"/>
      <x:c r="R20" s="138"/>
      <x:c r="S20" s="138"/>
      <x:c r="T20" s="144"/>
      <x:c r="U20" s="144"/>
      <x:c r="V20" s="38"/>
      <x:c r="W20" s="38"/>
      <x:c r="X20" s="38"/>
      <x:c r="Y20" s="38"/>
      <x:c r="Z20" s="138"/>
      <x:c r="AA20" s="138"/>
      <x:c r="AB20" s="138"/>
      <x:c r="AC20" s="144"/>
      <x:c r="AD20" s="144"/>
      <x:c r="AE20" s="38"/>
      <x:c r="AF20" s="48" t="str">
        <x:f>IF(OR(G20="",I20="",J20&lt;&gt;""),"",IF(I20&lt;'요약'!$B$2,"만료",(YEAR(I20)-YEAR('요약'!$B$2))*12+MONTH(I20)-MONTH('요약'!$B$2)))</x:f>
      </x:c>
      <x:c r="AG20" s="48" t="str">
        <x:f>IF(G20="","",IF(AF20="만료","만료",IF(AF20=0,"이달",IF(AF20=1,"다음달",IF(AF20&lt;=3,"3개월 내","장기")))))</x:f>
      </x:c>
    </x:row>
    <x:row r="21" ht="18" customHeight="1">
      <x:c r="A21" s="41"/>
      <x:c r="B21" s="38"/>
      <x:c r="C21" s="38"/>
      <x:c r="D21" s="41"/>
      <x:c r="E21" s="41"/>
      <x:c r="F21" s="38"/>
      <x:c r="G21" s="38"/>
      <x:c r="H21" s="138"/>
      <x:c r="I21" s="138"/>
      <x:c r="J21" s="138"/>
      <x:c r="K21" s="144"/>
      <x:c r="L21" s="144"/>
      <x:c r="M21" s="38"/>
      <x:c r="N21" s="38"/>
      <x:c r="O21" s="38"/>
      <x:c r="P21" s="38"/>
      <x:c r="Q21" s="138"/>
      <x:c r="R21" s="138"/>
      <x:c r="S21" s="138"/>
      <x:c r="T21" s="144"/>
      <x:c r="U21" s="144"/>
      <x:c r="V21" s="38"/>
      <x:c r="W21" s="38"/>
      <x:c r="X21" s="38"/>
      <x:c r="Y21" s="38"/>
      <x:c r="Z21" s="138"/>
      <x:c r="AA21" s="138"/>
      <x:c r="AB21" s="138"/>
      <x:c r="AC21" s="144"/>
      <x:c r="AD21" s="144"/>
      <x:c r="AE21" s="38"/>
      <x:c r="AF21" s="48" t="str">
        <x:f>IF(OR(G21="",I21="",J21&lt;&gt;""),"",IF(I21&lt;'요약'!$B$2,"만료",(YEAR(I21)-YEAR('요약'!$B$2))*12+MONTH(I21)-MONTH('요약'!$B$2)))</x:f>
      </x:c>
      <x:c r="AG21" s="48" t="str">
        <x:f>IF(G21="","",IF(AF21="만료","만료",IF(AF21=0,"이달",IF(AF21=1,"다음달",IF(AF21&lt;=3,"3개월 내","장기")))))</x:f>
      </x:c>
    </x:row>
    <x:row r="22" ht="18" customHeight="1">
      <x:c r="A22" s="41"/>
      <x:c r="B22" s="38"/>
      <x:c r="C22" s="38"/>
      <x:c r="D22" s="41"/>
      <x:c r="E22" s="41"/>
      <x:c r="F22" s="38"/>
      <x:c r="G22" s="38"/>
      <x:c r="H22" s="138"/>
      <x:c r="I22" s="138"/>
      <x:c r="J22" s="138"/>
      <x:c r="K22" s="144"/>
      <x:c r="L22" s="144"/>
      <x:c r="M22" s="38"/>
      <x:c r="N22" s="38"/>
      <x:c r="O22" s="38"/>
      <x:c r="P22" s="38"/>
      <x:c r="Q22" s="138"/>
      <x:c r="R22" s="138"/>
      <x:c r="S22" s="138"/>
      <x:c r="T22" s="144"/>
      <x:c r="U22" s="144"/>
      <x:c r="V22" s="38"/>
      <x:c r="W22" s="38"/>
      <x:c r="X22" s="38"/>
      <x:c r="Y22" s="38"/>
      <x:c r="Z22" s="138"/>
      <x:c r="AA22" s="138"/>
      <x:c r="AB22" s="138"/>
      <x:c r="AC22" s="144"/>
      <x:c r="AD22" s="144"/>
      <x:c r="AE22" s="38"/>
      <x:c r="AF22" s="48" t="str">
        <x:f>IF(OR(G22="",I22="",J22&lt;&gt;""),"",IF(I22&lt;'요약'!$B$2,"만료",(YEAR(I22)-YEAR('요약'!$B$2))*12+MONTH(I22)-MONTH('요약'!$B$2)))</x:f>
      </x:c>
      <x:c r="AG22" s="48" t="str">
        <x:f>IF(G22="","",IF(AF22="만료","만료",IF(AF22=0,"이달",IF(AF22=1,"다음달",IF(AF22&lt;=3,"3개월 내","장기")))))</x:f>
      </x:c>
    </x:row>
    <x:row r="23" ht="18" customHeight="1">
      <x:c r="A23" s="41"/>
      <x:c r="B23" s="38"/>
      <x:c r="C23" s="38"/>
      <x:c r="D23" s="41"/>
      <x:c r="E23" s="41"/>
      <x:c r="F23" s="38"/>
      <x:c r="G23" s="38"/>
      <x:c r="H23" s="138"/>
      <x:c r="I23" s="138"/>
      <x:c r="J23" s="138"/>
      <x:c r="K23" s="144"/>
      <x:c r="L23" s="144"/>
      <x:c r="M23" s="38"/>
      <x:c r="N23" s="38"/>
      <x:c r="O23" s="38"/>
      <x:c r="P23" s="38"/>
      <x:c r="Q23" s="138"/>
      <x:c r="R23" s="138"/>
      <x:c r="S23" s="138"/>
      <x:c r="T23" s="144"/>
      <x:c r="U23" s="144"/>
      <x:c r="V23" s="38"/>
      <x:c r="W23" s="38"/>
      <x:c r="X23" s="38"/>
      <x:c r="Y23" s="38"/>
      <x:c r="Z23" s="138"/>
      <x:c r="AA23" s="138"/>
      <x:c r="AB23" s="138"/>
      <x:c r="AC23" s="144"/>
      <x:c r="AD23" s="144"/>
      <x:c r="AE23" s="38"/>
      <x:c r="AF23" s="48" t="str">
        <x:f>IF(OR(G23="",I23="",J23&lt;&gt;""),"",IF(I23&lt;'요약'!$B$2,"만료",(YEAR(I23)-YEAR('요약'!$B$2))*12+MONTH(I23)-MONTH('요약'!$B$2)))</x:f>
      </x:c>
      <x:c r="AG23" s="48" t="str">
        <x:f>IF(G23="","",IF(AF23="만료","만료",IF(AF23=0,"이달",IF(AF23=1,"다음달",IF(AF23&lt;=3,"3개월 내","장기")))))</x:f>
      </x:c>
    </x:row>
    <x:row r="24" ht="18" customHeight="1">
      <x:c r="A24" s="41"/>
      <x:c r="B24" s="38"/>
      <x:c r="C24" s="38"/>
      <x:c r="D24" s="41"/>
      <x:c r="E24" s="41"/>
      <x:c r="F24" s="38"/>
      <x:c r="G24" s="38"/>
      <x:c r="H24" s="138"/>
      <x:c r="I24" s="138"/>
      <x:c r="J24" s="138"/>
      <x:c r="K24" s="144"/>
      <x:c r="L24" s="144"/>
      <x:c r="M24" s="38"/>
      <x:c r="N24" s="38"/>
      <x:c r="O24" s="38"/>
      <x:c r="P24" s="38"/>
      <x:c r="Q24" s="138"/>
      <x:c r="R24" s="138"/>
      <x:c r="S24" s="138"/>
      <x:c r="T24" s="144"/>
      <x:c r="U24" s="144"/>
      <x:c r="V24" s="38"/>
      <x:c r="W24" s="38"/>
      <x:c r="X24" s="38"/>
      <x:c r="Y24" s="38"/>
      <x:c r="Z24" s="138"/>
      <x:c r="AA24" s="138"/>
      <x:c r="AB24" s="138"/>
      <x:c r="AC24" s="144"/>
      <x:c r="AD24" s="144"/>
      <x:c r="AE24" s="38"/>
      <x:c r="AF24" s="48" t="str">
        <x:f>IF(OR(G24="",I24="",J24&lt;&gt;""),"",IF(I24&lt;'요약'!$B$2,"만료",(YEAR(I24)-YEAR('요약'!$B$2))*12+MONTH(I24)-MONTH('요약'!$B$2)))</x:f>
      </x:c>
      <x:c r="AG24" s="48" t="str">
        <x:f>IF(G24="","",IF(AF24="만료","만료",IF(AF24=0,"이달",IF(AF24=1,"다음달",IF(AF24&lt;=3,"3개월 내","장기")))))</x:f>
      </x:c>
    </x:row>
    <x:row r="25" ht="18" customHeight="1">
      <x:c r="A25" s="41"/>
      <x:c r="B25" s="38"/>
      <x:c r="C25" s="38"/>
      <x:c r="D25" s="41"/>
      <x:c r="E25" s="41"/>
      <x:c r="F25" s="38"/>
      <x:c r="G25" s="38"/>
      <x:c r="H25" s="138"/>
      <x:c r="I25" s="138"/>
      <x:c r="J25" s="138"/>
      <x:c r="K25" s="144"/>
      <x:c r="L25" s="144"/>
      <x:c r="M25" s="38"/>
      <x:c r="N25" s="38"/>
      <x:c r="O25" s="38"/>
      <x:c r="P25" s="38"/>
      <x:c r="Q25" s="138"/>
      <x:c r="R25" s="138"/>
      <x:c r="S25" s="138"/>
      <x:c r="T25" s="144"/>
      <x:c r="U25" s="144"/>
      <x:c r="V25" s="38"/>
      <x:c r="W25" s="38"/>
      <x:c r="X25" s="38"/>
      <x:c r="Y25" s="38"/>
      <x:c r="Z25" s="138"/>
      <x:c r="AA25" s="138"/>
      <x:c r="AB25" s="138"/>
      <x:c r="AC25" s="144"/>
      <x:c r="AD25" s="144"/>
      <x:c r="AE25" s="38"/>
      <x:c r="AF25" s="48" t="str">
        <x:f>IF(OR(G25="",I25="",J25&lt;&gt;""),"",IF(I25&lt;'요약'!$B$2,"만료",(YEAR(I25)-YEAR('요약'!$B$2))*12+MONTH(I25)-MONTH('요약'!$B$2)))</x:f>
      </x:c>
      <x:c r="AG25" s="48" t="str">
        <x:f>IF(G25="","",IF(AF25="만료","만료",IF(AF25=0,"이달",IF(AF25=1,"다음달",IF(AF25&lt;=3,"3개월 내","장기")))))</x:f>
      </x:c>
    </x:row>
    <x:row r="26" ht="18" customHeight="1">
      <x:c r="A26" s="41"/>
      <x:c r="B26" s="38"/>
      <x:c r="C26" s="38"/>
      <x:c r="D26" s="41"/>
      <x:c r="E26" s="41"/>
      <x:c r="F26" s="38"/>
      <x:c r="G26" s="38"/>
      <x:c r="H26" s="138"/>
      <x:c r="I26" s="138"/>
      <x:c r="J26" s="138"/>
      <x:c r="K26" s="144"/>
      <x:c r="L26" s="144"/>
      <x:c r="M26" s="38"/>
      <x:c r="N26" s="38"/>
      <x:c r="O26" s="38"/>
      <x:c r="P26" s="38"/>
      <x:c r="Q26" s="138"/>
      <x:c r="R26" s="138"/>
      <x:c r="S26" s="138"/>
      <x:c r="T26" s="144"/>
      <x:c r="U26" s="144"/>
      <x:c r="V26" s="38"/>
      <x:c r="W26" s="38"/>
      <x:c r="X26" s="38"/>
      <x:c r="Y26" s="38"/>
      <x:c r="Z26" s="138"/>
      <x:c r="AA26" s="138"/>
      <x:c r="AB26" s="138"/>
      <x:c r="AC26" s="144"/>
      <x:c r="AD26" s="144"/>
      <x:c r="AE26" s="38"/>
      <x:c r="AF26" s="48" t="str">
        <x:f>IF(OR(G26="",I26="",J26&lt;&gt;""),"",IF(I26&lt;'요약'!$B$2,"만료",(YEAR(I26)-YEAR('요약'!$B$2))*12+MONTH(I26)-MONTH('요약'!$B$2)))</x:f>
      </x:c>
      <x:c r="AG26" s="48" t="str">
        <x:f>IF(G26="","",IF(AF26="만료","만료",IF(AF26=0,"이달",IF(AF26=1,"다음달",IF(AF26&lt;=3,"3개월 내","장기")))))</x:f>
      </x:c>
    </x:row>
    <x:row r="27" ht="18" customHeight="1">
      <x:c r="A27" s="41"/>
      <x:c r="B27" s="38"/>
      <x:c r="C27" s="38"/>
      <x:c r="D27" s="41"/>
      <x:c r="E27" s="41"/>
      <x:c r="F27" s="38"/>
      <x:c r="G27" s="38"/>
      <x:c r="H27" s="138"/>
      <x:c r="I27" s="138"/>
      <x:c r="J27" s="138"/>
      <x:c r="K27" s="144"/>
      <x:c r="L27" s="144"/>
      <x:c r="M27" s="38"/>
      <x:c r="N27" s="38"/>
      <x:c r="O27" s="38"/>
      <x:c r="P27" s="38"/>
      <x:c r="Q27" s="138"/>
      <x:c r="R27" s="138"/>
      <x:c r="S27" s="138"/>
      <x:c r="T27" s="144"/>
      <x:c r="U27" s="144"/>
      <x:c r="V27" s="38"/>
      <x:c r="W27" s="38"/>
      <x:c r="X27" s="38"/>
      <x:c r="Y27" s="38"/>
      <x:c r="Z27" s="138"/>
      <x:c r="AA27" s="138"/>
      <x:c r="AB27" s="138"/>
      <x:c r="AC27" s="144"/>
      <x:c r="AD27" s="144"/>
      <x:c r="AE27" s="38"/>
      <x:c r="AF27" s="48" t="str">
        <x:f>IF(OR(G27="",I27="",J27&lt;&gt;""),"",IF(I27&lt;'요약'!$B$2,"만료",(YEAR(I27)-YEAR('요약'!$B$2))*12+MONTH(I27)-MONTH('요약'!$B$2)))</x:f>
      </x:c>
      <x:c r="AG27" s="48" t="str">
        <x:f>IF(G27="","",IF(AF27="만료","만료",IF(AF27=0,"이달",IF(AF27=1,"다음달",IF(AF27&lt;=3,"3개월 내","장기")))))</x:f>
      </x:c>
    </x:row>
    <x:row r="28" ht="18" customHeight="1">
      <x:c r="A28" s="41"/>
      <x:c r="B28" s="38"/>
      <x:c r="C28" s="38"/>
      <x:c r="D28" s="41"/>
      <x:c r="E28" s="41"/>
      <x:c r="F28" s="38"/>
      <x:c r="G28" s="38"/>
      <x:c r="H28" s="138"/>
      <x:c r="I28" s="138"/>
      <x:c r="J28" s="138"/>
      <x:c r="K28" s="144"/>
      <x:c r="L28" s="144"/>
      <x:c r="M28" s="38"/>
      <x:c r="N28" s="38"/>
      <x:c r="O28" s="38"/>
      <x:c r="P28" s="38"/>
      <x:c r="Q28" s="138"/>
      <x:c r="R28" s="138"/>
      <x:c r="S28" s="138"/>
      <x:c r="T28" s="144"/>
      <x:c r="U28" s="144"/>
      <x:c r="V28" s="38"/>
      <x:c r="W28" s="38"/>
      <x:c r="X28" s="38"/>
      <x:c r="Y28" s="38"/>
      <x:c r="Z28" s="138"/>
      <x:c r="AA28" s="138"/>
      <x:c r="AB28" s="138"/>
      <x:c r="AC28" s="144"/>
      <x:c r="AD28" s="144"/>
      <x:c r="AE28" s="38"/>
      <x:c r="AF28" s="48" t="str">
        <x:f>IF(OR(G28="",I28="",J28&lt;&gt;""),"",IF(I28&lt;'요약'!$B$2,"만료",(YEAR(I28)-YEAR('요약'!$B$2))*12+MONTH(I28)-MONTH('요약'!$B$2)))</x:f>
      </x:c>
      <x:c r="AG28" s="48" t="str">
        <x:f>IF(G28="","",IF(AF28="만료","만료",IF(AF28=0,"이달",IF(AF28=1,"다음달",IF(AF28&lt;=3,"3개월 내","장기")))))</x:f>
      </x:c>
    </x:row>
    <x:row r="29" ht="18" customHeight="1">
      <x:c r="A29" s="41"/>
      <x:c r="B29" s="38"/>
      <x:c r="C29" s="38"/>
      <x:c r="D29" s="41"/>
      <x:c r="E29" s="41"/>
      <x:c r="F29" s="38"/>
      <x:c r="G29" s="38"/>
      <x:c r="H29" s="138"/>
      <x:c r="I29" s="138"/>
      <x:c r="J29" s="138"/>
      <x:c r="K29" s="144"/>
      <x:c r="L29" s="144"/>
      <x:c r="M29" s="38"/>
      <x:c r="N29" s="38"/>
      <x:c r="O29" s="38"/>
      <x:c r="P29" s="38"/>
      <x:c r="Q29" s="138"/>
      <x:c r="R29" s="138"/>
      <x:c r="S29" s="138"/>
      <x:c r="T29" s="144"/>
      <x:c r="U29" s="144"/>
      <x:c r="V29" s="38"/>
      <x:c r="W29" s="38"/>
      <x:c r="X29" s="38"/>
      <x:c r="Y29" s="38"/>
      <x:c r="Z29" s="138"/>
      <x:c r="AA29" s="138"/>
      <x:c r="AB29" s="138"/>
      <x:c r="AC29" s="144"/>
      <x:c r="AD29" s="144"/>
      <x:c r="AE29" s="38"/>
      <x:c r="AF29" s="48" t="str">
        <x:f>IF(OR(G29="",I29="",J29&lt;&gt;""),"",IF(I29&lt;'요약'!$B$2,"만료",(YEAR(I29)-YEAR('요약'!$B$2))*12+MONTH(I29)-MONTH('요약'!$B$2)))</x:f>
      </x:c>
      <x:c r="AG29" s="48" t="str">
        <x:f>IF(G29="","",IF(AF29="만료","만료",IF(AF29=0,"이달",IF(AF29=1,"다음달",IF(AF29&lt;=3,"3개월 내","장기")))))</x:f>
      </x:c>
    </x:row>
    <x:row r="30" ht="18" customHeight="1">
      <x:c r="A30" s="41"/>
      <x:c r="B30" s="38"/>
      <x:c r="C30" s="38"/>
      <x:c r="D30" s="41"/>
      <x:c r="E30" s="41"/>
      <x:c r="F30" s="38"/>
      <x:c r="G30" s="38"/>
      <x:c r="H30" s="138"/>
      <x:c r="I30" s="138"/>
      <x:c r="J30" s="138"/>
      <x:c r="K30" s="144"/>
      <x:c r="L30" s="144"/>
      <x:c r="M30" s="38"/>
      <x:c r="N30" s="38"/>
      <x:c r="O30" s="38"/>
      <x:c r="P30" s="38"/>
      <x:c r="Q30" s="138"/>
      <x:c r="R30" s="138"/>
      <x:c r="S30" s="138"/>
      <x:c r="T30" s="144"/>
      <x:c r="U30" s="144"/>
      <x:c r="V30" s="38"/>
      <x:c r="W30" s="38"/>
      <x:c r="X30" s="38"/>
      <x:c r="Y30" s="38"/>
      <x:c r="Z30" s="138"/>
      <x:c r="AA30" s="138"/>
      <x:c r="AB30" s="138"/>
      <x:c r="AC30" s="144"/>
      <x:c r="AD30" s="144"/>
      <x:c r="AE30" s="38"/>
      <x:c r="AF30" s="48" t="str">
        <x:f>IF(OR(G30="",I30="",J30&lt;&gt;""),"",IF(I30&lt;'요약'!$B$2,"만료",(YEAR(I30)-YEAR('요약'!$B$2))*12+MONTH(I30)-MONTH('요약'!$B$2)))</x:f>
      </x:c>
      <x:c r="AG30" s="48" t="str">
        <x:f>IF(G30="","",IF(AF30="만료","만료",IF(AF30=0,"이달",IF(AF30=1,"다음달",IF(AF30&lt;=3,"3개월 내","장기")))))</x:f>
      </x:c>
    </x:row>
    <x:row r="31" ht="18" customHeight="1">
      <x:c r="A31" s="41"/>
      <x:c r="B31" s="38"/>
      <x:c r="C31" s="38"/>
      <x:c r="D31" s="41"/>
      <x:c r="E31" s="41"/>
      <x:c r="F31" s="38"/>
      <x:c r="G31" s="38"/>
      <x:c r="H31" s="138"/>
      <x:c r="I31" s="138"/>
      <x:c r="J31" s="138"/>
      <x:c r="K31" s="144"/>
      <x:c r="L31" s="144"/>
      <x:c r="M31" s="38"/>
      <x:c r="N31" s="38"/>
      <x:c r="O31" s="38"/>
      <x:c r="P31" s="38"/>
      <x:c r="Q31" s="138"/>
      <x:c r="R31" s="138"/>
      <x:c r="S31" s="138"/>
      <x:c r="T31" s="144"/>
      <x:c r="U31" s="144"/>
      <x:c r="V31" s="38"/>
      <x:c r="W31" s="38"/>
      <x:c r="X31" s="38"/>
      <x:c r="Y31" s="38"/>
      <x:c r="Z31" s="138"/>
      <x:c r="AA31" s="138"/>
      <x:c r="AB31" s="138"/>
      <x:c r="AC31" s="144"/>
      <x:c r="AD31" s="144"/>
      <x:c r="AE31" s="38"/>
      <x:c r="AF31" s="48" t="str">
        <x:f>IF(OR(G31="",I31="",J31&lt;&gt;""),"",IF(I31&lt;'요약'!$B$2,"만료",(YEAR(I31)-YEAR('요약'!$B$2))*12+MONTH(I31)-MONTH('요약'!$B$2)))</x:f>
      </x:c>
      <x:c r="AG31" s="48" t="str">
        <x:f>IF(G31="","",IF(AF31="만료","만료",IF(AF31=0,"이달",IF(AF31=1,"다음달",IF(AF31&lt;=3,"3개월 내","장기")))))</x:f>
      </x:c>
    </x:row>
    <x:row r="32" ht="18" customHeight="1">
      <x:c r="A32" s="41"/>
      <x:c r="B32" s="38"/>
      <x:c r="C32" s="38"/>
      <x:c r="D32" s="41"/>
      <x:c r="E32" s="41"/>
      <x:c r="F32" s="38"/>
      <x:c r="G32" s="38"/>
      <x:c r="H32" s="138"/>
      <x:c r="I32" s="138"/>
      <x:c r="J32" s="138"/>
      <x:c r="K32" s="144"/>
      <x:c r="L32" s="144"/>
      <x:c r="M32" s="38"/>
      <x:c r="N32" s="38"/>
      <x:c r="O32" s="38"/>
      <x:c r="P32" s="38"/>
      <x:c r="Q32" s="138"/>
      <x:c r="R32" s="138"/>
      <x:c r="S32" s="138"/>
      <x:c r="T32" s="144"/>
      <x:c r="U32" s="144"/>
      <x:c r="V32" s="38"/>
      <x:c r="W32" s="38"/>
      <x:c r="X32" s="38"/>
      <x:c r="Y32" s="38"/>
      <x:c r="Z32" s="138"/>
      <x:c r="AA32" s="138"/>
      <x:c r="AB32" s="138"/>
      <x:c r="AC32" s="144"/>
      <x:c r="AD32" s="144"/>
      <x:c r="AE32" s="38"/>
      <x:c r="AF32" s="48" t="str">
        <x:f>IF(OR(G32="",I32="",J32&lt;&gt;""),"",IF(I32&lt;'요약'!$B$2,"만료",(YEAR(I32)-YEAR('요약'!$B$2))*12+MONTH(I32)-MONTH('요약'!$B$2)))</x:f>
      </x:c>
      <x:c r="AG32" s="48" t="str">
        <x:f>IF(G32="","",IF(AF32="만료","만료",IF(AF32=0,"이달",IF(AF32=1,"다음달",IF(AF32&lt;=3,"3개월 내","장기")))))</x:f>
      </x:c>
    </x:row>
    <x:row r="33" ht="18" customHeight="1">
      <x:c r="A33" s="41"/>
      <x:c r="B33" s="38"/>
      <x:c r="C33" s="38"/>
      <x:c r="D33" s="41"/>
      <x:c r="E33" s="41"/>
      <x:c r="F33" s="38"/>
      <x:c r="G33" s="38"/>
      <x:c r="H33" s="138"/>
      <x:c r="I33" s="138"/>
      <x:c r="J33" s="138"/>
      <x:c r="K33" s="144"/>
      <x:c r="L33" s="144"/>
      <x:c r="M33" s="38"/>
      <x:c r="N33" s="38"/>
      <x:c r="O33" s="38"/>
      <x:c r="P33" s="38"/>
      <x:c r="Q33" s="138"/>
      <x:c r="R33" s="138"/>
      <x:c r="S33" s="138"/>
      <x:c r="T33" s="144"/>
      <x:c r="U33" s="144"/>
      <x:c r="V33" s="38"/>
      <x:c r="W33" s="38"/>
      <x:c r="X33" s="38"/>
      <x:c r="Y33" s="38"/>
      <x:c r="Z33" s="138"/>
      <x:c r="AA33" s="138"/>
      <x:c r="AB33" s="138"/>
      <x:c r="AC33" s="144"/>
      <x:c r="AD33" s="144"/>
      <x:c r="AE33" s="38"/>
      <x:c r="AF33" s="48" t="str">
        <x:f>IF(OR(G33="",I33="",J33&lt;&gt;""),"",IF(I33&lt;'요약'!$B$2,"만료",(YEAR(I33)-YEAR('요약'!$B$2))*12+MONTH(I33)-MONTH('요약'!$B$2)))</x:f>
      </x:c>
      <x:c r="AG33" s="48" t="str">
        <x:f>IF(G33="","",IF(AF33="만료","만료",IF(AF33=0,"이달",IF(AF33=1,"다음달",IF(AF33&lt;=3,"3개월 내","장기")))))</x:f>
      </x:c>
    </x:row>
    <x:row r="34" ht="18" customHeight="1">
      <x:c r="A34" s="41"/>
      <x:c r="B34" s="38"/>
      <x:c r="C34" s="38"/>
      <x:c r="D34" s="41"/>
      <x:c r="E34" s="41"/>
      <x:c r="F34" s="38"/>
      <x:c r="G34" s="38"/>
      <x:c r="H34" s="138"/>
      <x:c r="I34" s="138"/>
      <x:c r="J34" s="138"/>
      <x:c r="K34" s="144"/>
      <x:c r="L34" s="144"/>
      <x:c r="M34" s="38"/>
      <x:c r="N34" s="38"/>
      <x:c r="O34" s="38"/>
      <x:c r="P34" s="38"/>
      <x:c r="Q34" s="138"/>
      <x:c r="R34" s="138"/>
      <x:c r="S34" s="138"/>
      <x:c r="T34" s="144"/>
      <x:c r="U34" s="144"/>
      <x:c r="V34" s="38"/>
      <x:c r="W34" s="38"/>
      <x:c r="X34" s="38"/>
      <x:c r="Y34" s="38"/>
      <x:c r="Z34" s="138"/>
      <x:c r="AA34" s="138"/>
      <x:c r="AB34" s="138"/>
      <x:c r="AC34" s="144"/>
      <x:c r="AD34" s="144"/>
      <x:c r="AE34" s="38"/>
      <x:c r="AF34" s="48" t="str">
        <x:f>IF(OR(G34="",I34="",J34&lt;&gt;""),"",IF(I34&lt;'요약'!$B$2,"만료",(YEAR(I34)-YEAR('요약'!$B$2))*12+MONTH(I34)-MONTH('요약'!$B$2)))</x:f>
      </x:c>
      <x:c r="AG34" s="48" t="str">
        <x:f>IF(G34="","",IF(AF34="만료","만료",IF(AF34=0,"이달",IF(AF34=1,"다음달",IF(AF34&lt;=3,"3개월 내","장기")))))</x:f>
      </x:c>
    </x:row>
    <x:row r="35" ht="18" customHeight="1">
      <x:c r="A35" s="41"/>
      <x:c r="B35" s="38"/>
      <x:c r="C35" s="38"/>
      <x:c r="D35" s="41"/>
      <x:c r="E35" s="41"/>
      <x:c r="F35" s="38"/>
      <x:c r="G35" s="38"/>
      <x:c r="H35" s="138"/>
      <x:c r="I35" s="138"/>
      <x:c r="J35" s="138"/>
      <x:c r="K35" s="144"/>
      <x:c r="L35" s="144"/>
      <x:c r="M35" s="38"/>
      <x:c r="N35" s="38"/>
      <x:c r="O35" s="38"/>
      <x:c r="P35" s="38"/>
      <x:c r="Q35" s="138"/>
      <x:c r="R35" s="138"/>
      <x:c r="S35" s="138"/>
      <x:c r="T35" s="144"/>
      <x:c r="U35" s="144"/>
      <x:c r="V35" s="38"/>
      <x:c r="W35" s="38"/>
      <x:c r="X35" s="38"/>
      <x:c r="Y35" s="38"/>
      <x:c r="Z35" s="138"/>
      <x:c r="AA35" s="138"/>
      <x:c r="AB35" s="138"/>
      <x:c r="AC35" s="144"/>
      <x:c r="AD35" s="144"/>
      <x:c r="AE35" s="38"/>
      <x:c r="AF35" s="48" t="str">
        <x:f>IF(OR(G35="",I35="",J35&lt;&gt;""),"",IF(I35&lt;'요약'!$B$2,"만료",(YEAR(I35)-YEAR('요약'!$B$2))*12+MONTH(I35)-MONTH('요약'!$B$2)))</x:f>
      </x:c>
      <x:c r="AG35" s="48" t="str">
        <x:f>IF(G35="","",IF(AF35="만료","만료",IF(AF35=0,"이달",IF(AF35=1,"다음달",IF(AF35&lt;=3,"3개월 내","장기")))))</x:f>
      </x:c>
    </x:row>
    <x:row r="36" ht="18" customHeight="1">
      <x:c r="A36" s="41"/>
      <x:c r="B36" s="38"/>
      <x:c r="C36" s="38"/>
      <x:c r="D36" s="41"/>
      <x:c r="E36" s="41"/>
      <x:c r="F36" s="38"/>
      <x:c r="G36" s="38"/>
      <x:c r="H36" s="138"/>
      <x:c r="I36" s="138"/>
      <x:c r="J36" s="138"/>
      <x:c r="K36" s="144"/>
      <x:c r="L36" s="144"/>
      <x:c r="M36" s="38"/>
      <x:c r="N36" s="38"/>
      <x:c r="O36" s="38"/>
      <x:c r="P36" s="38"/>
      <x:c r="Q36" s="138"/>
      <x:c r="R36" s="138"/>
      <x:c r="S36" s="138"/>
      <x:c r="T36" s="144"/>
      <x:c r="U36" s="144"/>
      <x:c r="V36" s="38"/>
      <x:c r="W36" s="38"/>
      <x:c r="X36" s="38"/>
      <x:c r="Y36" s="38"/>
      <x:c r="Z36" s="138"/>
      <x:c r="AA36" s="138"/>
      <x:c r="AB36" s="138"/>
      <x:c r="AC36" s="144"/>
      <x:c r="AD36" s="144"/>
      <x:c r="AE36" s="38"/>
      <x:c r="AF36" s="48" t="str">
        <x:f>IF(OR(G36="",I36="",J36&lt;&gt;""),"",IF(I36&lt;'요약'!$B$2,"만료",(YEAR(I36)-YEAR('요약'!$B$2))*12+MONTH(I36)-MONTH('요약'!$B$2)))</x:f>
      </x:c>
      <x:c r="AG36" s="48" t="str">
        <x:f>IF(G36="","",IF(AF36="만료","만료",IF(AF36=0,"이달",IF(AF36=1,"다음달",IF(AF36&lt;=3,"3개월 내","장기")))))</x:f>
      </x:c>
    </x:row>
    <x:row r="37" ht="18" customHeight="1">
      <x:c r="A37" s="41"/>
      <x:c r="B37" s="38"/>
      <x:c r="C37" s="38"/>
      <x:c r="D37" s="41"/>
      <x:c r="E37" s="41"/>
      <x:c r="F37" s="38"/>
      <x:c r="G37" s="38"/>
      <x:c r="H37" s="138"/>
      <x:c r="I37" s="138"/>
      <x:c r="J37" s="138"/>
      <x:c r="K37" s="144"/>
      <x:c r="L37" s="144"/>
      <x:c r="M37" s="38"/>
      <x:c r="N37" s="38"/>
      <x:c r="O37" s="38"/>
      <x:c r="P37" s="38"/>
      <x:c r="Q37" s="138"/>
      <x:c r="R37" s="138"/>
      <x:c r="S37" s="138"/>
      <x:c r="T37" s="144"/>
      <x:c r="U37" s="144"/>
      <x:c r="V37" s="38"/>
      <x:c r="W37" s="38"/>
      <x:c r="X37" s="38"/>
      <x:c r="Y37" s="38"/>
      <x:c r="Z37" s="138"/>
      <x:c r="AA37" s="138"/>
      <x:c r="AB37" s="138"/>
      <x:c r="AC37" s="144"/>
      <x:c r="AD37" s="144"/>
      <x:c r="AE37" s="38"/>
      <x:c r="AF37" s="48" t="str">
        <x:f>IF(OR(G37="",I37="",J37&lt;&gt;""),"",IF(I37&lt;'요약'!$B$2,"만료",(YEAR(I37)-YEAR('요약'!$B$2))*12+MONTH(I37)-MONTH('요약'!$B$2)))</x:f>
      </x:c>
      <x:c r="AG37" s="48" t="str">
        <x:f>IF(G37="","",IF(AF37="만료","만료",IF(AF37=0,"이달",IF(AF37=1,"다음달",IF(AF37&lt;=3,"3개월 내","장기")))))</x:f>
      </x:c>
    </x:row>
    <x:row r="38" ht="18" customHeight="1">
      <x:c r="A38" s="41"/>
      <x:c r="B38" s="38"/>
      <x:c r="C38" s="38"/>
      <x:c r="D38" s="41"/>
      <x:c r="E38" s="41"/>
      <x:c r="F38" s="38"/>
      <x:c r="G38" s="38"/>
      <x:c r="H38" s="138"/>
      <x:c r="I38" s="138"/>
      <x:c r="J38" s="138"/>
      <x:c r="K38" s="144"/>
      <x:c r="L38" s="144"/>
      <x:c r="M38" s="38"/>
      <x:c r="N38" s="38"/>
      <x:c r="O38" s="38"/>
      <x:c r="P38" s="38"/>
      <x:c r="Q38" s="138"/>
      <x:c r="R38" s="138"/>
      <x:c r="S38" s="138"/>
      <x:c r="T38" s="144"/>
      <x:c r="U38" s="144"/>
      <x:c r="V38" s="38"/>
      <x:c r="W38" s="38"/>
      <x:c r="X38" s="38"/>
      <x:c r="Y38" s="38"/>
      <x:c r="Z38" s="138"/>
      <x:c r="AA38" s="138"/>
      <x:c r="AB38" s="138"/>
      <x:c r="AC38" s="144"/>
      <x:c r="AD38" s="144"/>
      <x:c r="AE38" s="38"/>
      <x:c r="AF38" s="48" t="str">
        <x:f>IF(OR(G38="",I38="",J38&lt;&gt;""),"",IF(I38&lt;'요약'!$B$2,"만료",(YEAR(I38)-YEAR('요약'!$B$2))*12+MONTH(I38)-MONTH('요약'!$B$2)))</x:f>
      </x:c>
      <x:c r="AG38" s="48" t="str">
        <x:f>IF(G38="","",IF(AF38="만료","만료",IF(AF38=0,"이달",IF(AF38=1,"다음달",IF(AF38&lt;=3,"3개월 내","장기")))))</x:f>
      </x:c>
    </x:row>
    <x:row r="39" ht="18" customHeight="1">
      <x:c r="A39" s="41"/>
      <x:c r="B39" s="38"/>
      <x:c r="C39" s="38"/>
      <x:c r="D39" s="41"/>
      <x:c r="E39" s="41"/>
      <x:c r="F39" s="38"/>
      <x:c r="G39" s="38"/>
      <x:c r="H39" s="138"/>
      <x:c r="I39" s="138"/>
      <x:c r="J39" s="138"/>
      <x:c r="K39" s="144"/>
      <x:c r="L39" s="144"/>
      <x:c r="M39" s="38"/>
      <x:c r="N39" s="38"/>
      <x:c r="O39" s="38"/>
      <x:c r="P39" s="38"/>
      <x:c r="Q39" s="138"/>
      <x:c r="R39" s="138"/>
      <x:c r="S39" s="138"/>
      <x:c r="T39" s="144"/>
      <x:c r="U39" s="144"/>
      <x:c r="V39" s="38"/>
      <x:c r="W39" s="38"/>
      <x:c r="X39" s="38"/>
      <x:c r="Y39" s="38"/>
      <x:c r="Z39" s="138"/>
      <x:c r="AA39" s="138"/>
      <x:c r="AB39" s="138"/>
      <x:c r="AC39" s="144"/>
      <x:c r="AD39" s="144"/>
      <x:c r="AE39" s="38"/>
      <x:c r="AF39" s="48" t="str">
        <x:f>IF(OR(G39="",I39="",J39&lt;&gt;""),"",IF(I39&lt;'요약'!$B$2,"만료",(YEAR(I39)-YEAR('요약'!$B$2))*12+MONTH(I39)-MONTH('요약'!$B$2)))</x:f>
      </x:c>
      <x:c r="AG39" s="48" t="str">
        <x:f>IF(G39="","",IF(AF39="만료","만료",IF(AF39=0,"이달",IF(AF39=1,"다음달",IF(AF39&lt;=3,"3개월 내","장기")))))</x:f>
      </x:c>
    </x:row>
    <x:row r="40" ht="18" customHeight="1">
      <x:c r="A40" s="41"/>
      <x:c r="B40" s="38"/>
      <x:c r="C40" s="38"/>
      <x:c r="D40" s="41"/>
      <x:c r="E40" s="41"/>
      <x:c r="F40" s="38"/>
      <x:c r="G40" s="38"/>
      <x:c r="H40" s="138"/>
      <x:c r="I40" s="138"/>
      <x:c r="J40" s="138"/>
      <x:c r="K40" s="144"/>
      <x:c r="L40" s="144"/>
      <x:c r="M40" s="38"/>
      <x:c r="N40" s="38"/>
      <x:c r="O40" s="38"/>
      <x:c r="P40" s="38"/>
      <x:c r="Q40" s="138"/>
      <x:c r="R40" s="138"/>
      <x:c r="S40" s="138"/>
      <x:c r="T40" s="144"/>
      <x:c r="U40" s="144"/>
      <x:c r="V40" s="38"/>
      <x:c r="W40" s="38"/>
      <x:c r="X40" s="38"/>
      <x:c r="Y40" s="38"/>
      <x:c r="Z40" s="138"/>
      <x:c r="AA40" s="138"/>
      <x:c r="AB40" s="138"/>
      <x:c r="AC40" s="144"/>
      <x:c r="AD40" s="144"/>
      <x:c r="AE40" s="38"/>
      <x:c r="AF40" s="48" t="str">
        <x:f>IF(OR(G40="",I40="",J40&lt;&gt;""),"",IF(I40&lt;'요약'!$B$2,"만료",(YEAR(I40)-YEAR('요약'!$B$2))*12+MONTH(I40)-MONTH('요약'!$B$2)))</x:f>
      </x:c>
      <x:c r="AG40" s="48" t="str">
        <x:f>IF(G40="","",IF(AF40="만료","만료",IF(AF40=0,"이달",IF(AF40=1,"다음달",IF(AF40&lt;=3,"3개월 내","장기")))))</x:f>
      </x:c>
    </x:row>
    <x:row r="41" ht="18" customHeight="1">
      <x:c r="A41" s="41"/>
      <x:c r="B41" s="38"/>
      <x:c r="C41" s="38"/>
      <x:c r="D41" s="41"/>
      <x:c r="E41" s="41"/>
      <x:c r="F41" s="38"/>
      <x:c r="G41" s="38"/>
      <x:c r="H41" s="138"/>
      <x:c r="I41" s="138"/>
      <x:c r="J41" s="138"/>
      <x:c r="K41" s="144"/>
      <x:c r="L41" s="144"/>
      <x:c r="M41" s="38"/>
      <x:c r="N41" s="38"/>
      <x:c r="O41" s="38"/>
      <x:c r="P41" s="38"/>
      <x:c r="Q41" s="138"/>
      <x:c r="R41" s="138"/>
      <x:c r="S41" s="138"/>
      <x:c r="T41" s="144"/>
      <x:c r="U41" s="144"/>
      <x:c r="V41" s="38"/>
      <x:c r="W41" s="38"/>
      <x:c r="X41" s="38"/>
      <x:c r="Y41" s="38"/>
      <x:c r="Z41" s="138"/>
      <x:c r="AA41" s="138"/>
      <x:c r="AB41" s="138"/>
      <x:c r="AC41" s="144"/>
      <x:c r="AD41" s="144"/>
      <x:c r="AE41" s="38"/>
      <x:c r="AF41" s="48" t="str">
        <x:f>IF(OR(G41="",I41="",J41&lt;&gt;""),"",IF(I41&lt;'요약'!$B$2,"만료",(YEAR(I41)-YEAR('요약'!$B$2))*12+MONTH(I41)-MONTH('요약'!$B$2)))</x:f>
      </x:c>
      <x:c r="AG41" s="48" t="str">
        <x:f>IF(G41="","",IF(AF41="만료","만료",IF(AF41=0,"이달",IF(AF41=1,"다음달",IF(AF41&lt;=3,"3개월 내","장기")))))</x:f>
      </x:c>
    </x:row>
    <x:row r="42" ht="18" customHeight="1">
      <x:c r="A42" s="41"/>
      <x:c r="B42" s="38"/>
      <x:c r="C42" s="38"/>
      <x:c r="D42" s="41"/>
      <x:c r="E42" s="41"/>
      <x:c r="F42" s="38"/>
      <x:c r="G42" s="38"/>
      <x:c r="H42" s="138"/>
      <x:c r="I42" s="138"/>
      <x:c r="J42" s="138"/>
      <x:c r="K42" s="144"/>
      <x:c r="L42" s="144"/>
      <x:c r="M42" s="38"/>
      <x:c r="N42" s="38"/>
      <x:c r="O42" s="38"/>
      <x:c r="P42" s="38"/>
      <x:c r="Q42" s="138"/>
      <x:c r="R42" s="138"/>
      <x:c r="S42" s="138"/>
      <x:c r="T42" s="144"/>
      <x:c r="U42" s="144"/>
      <x:c r="V42" s="38"/>
      <x:c r="W42" s="38"/>
      <x:c r="X42" s="38"/>
      <x:c r="Y42" s="38"/>
      <x:c r="Z42" s="138"/>
      <x:c r="AA42" s="138"/>
      <x:c r="AB42" s="138"/>
      <x:c r="AC42" s="144"/>
      <x:c r="AD42" s="144"/>
      <x:c r="AE42" s="38"/>
      <x:c r="AF42" s="48" t="str">
        <x:f>IF(OR(G42="",I42="",J42&lt;&gt;""),"",IF(I42&lt;'요약'!$B$2,"만료",(YEAR(I42)-YEAR('요약'!$B$2))*12+MONTH(I42)-MONTH('요약'!$B$2)))</x:f>
      </x:c>
      <x:c r="AG42" s="48" t="str">
        <x:f>IF(G42="","",IF(AF42="만료","만료",IF(AF42=0,"이달",IF(AF42=1,"다음달",IF(AF42&lt;=3,"3개월 내","장기")))))</x:f>
      </x:c>
    </x:row>
    <x:row r="43" ht="18" customHeight="1">
      <x:c r="A43" s="41"/>
      <x:c r="B43" s="38"/>
      <x:c r="C43" s="38"/>
      <x:c r="D43" s="41"/>
      <x:c r="E43" s="41"/>
      <x:c r="F43" s="38"/>
      <x:c r="G43" s="38"/>
      <x:c r="H43" s="138"/>
      <x:c r="I43" s="138"/>
      <x:c r="J43" s="138"/>
      <x:c r="K43" s="144"/>
      <x:c r="L43" s="144"/>
      <x:c r="M43" s="38"/>
      <x:c r="N43" s="38"/>
      <x:c r="O43" s="38"/>
      <x:c r="P43" s="38"/>
      <x:c r="Q43" s="138"/>
      <x:c r="R43" s="138"/>
      <x:c r="S43" s="138"/>
      <x:c r="T43" s="144"/>
      <x:c r="U43" s="144"/>
      <x:c r="V43" s="38"/>
      <x:c r="W43" s="38"/>
      <x:c r="X43" s="38"/>
      <x:c r="Y43" s="38"/>
      <x:c r="Z43" s="138"/>
      <x:c r="AA43" s="138"/>
      <x:c r="AB43" s="138"/>
      <x:c r="AC43" s="144"/>
      <x:c r="AD43" s="144"/>
      <x:c r="AE43" s="38"/>
      <x:c r="AF43" s="48" t="str">
        <x:f>IF(OR(G43="",I43="",J43&lt;&gt;""),"",IF(I43&lt;'요약'!$B$2,"만료",(YEAR(I43)-YEAR('요약'!$B$2))*12+MONTH(I43)-MONTH('요약'!$B$2)))</x:f>
      </x:c>
      <x:c r="AG43" s="48" t="str">
        <x:f>IF(G43="","",IF(AF43="만료","만료",IF(AF43=0,"이달",IF(AF43=1,"다음달",IF(AF43&lt;=3,"3개월 내","장기")))))</x:f>
      </x:c>
    </x:row>
    <x:row r="44" ht="18" customHeight="1">
      <x:c r="A44" s="41"/>
      <x:c r="B44" s="38"/>
      <x:c r="C44" s="38"/>
      <x:c r="D44" s="41"/>
      <x:c r="E44" s="41"/>
      <x:c r="F44" s="38"/>
      <x:c r="G44" s="38"/>
      <x:c r="H44" s="138"/>
      <x:c r="I44" s="138"/>
      <x:c r="J44" s="138"/>
      <x:c r="K44" s="144"/>
      <x:c r="L44" s="144"/>
      <x:c r="M44" s="38"/>
      <x:c r="N44" s="38"/>
      <x:c r="O44" s="38"/>
      <x:c r="P44" s="38"/>
      <x:c r="Q44" s="138"/>
      <x:c r="R44" s="138"/>
      <x:c r="S44" s="138"/>
      <x:c r="T44" s="144"/>
      <x:c r="U44" s="144"/>
      <x:c r="V44" s="38"/>
      <x:c r="W44" s="38"/>
      <x:c r="X44" s="38"/>
      <x:c r="Y44" s="38"/>
      <x:c r="Z44" s="138"/>
      <x:c r="AA44" s="138"/>
      <x:c r="AB44" s="138"/>
      <x:c r="AC44" s="144"/>
      <x:c r="AD44" s="144"/>
      <x:c r="AE44" s="38"/>
      <x:c r="AF44" s="48" t="str">
        <x:f>IF(OR(G44="",I44="",J44&lt;&gt;""),"",IF(I44&lt;'요약'!$B$2,"만료",(YEAR(I44)-YEAR('요약'!$B$2))*12+MONTH(I44)-MONTH('요약'!$B$2)))</x:f>
      </x:c>
      <x:c r="AG44" s="48" t="str">
        <x:f>IF(G44="","",IF(AF44="만료","만료",IF(AF44=0,"이달",IF(AF44=1,"다음달",IF(AF44&lt;=3,"3개월 내","장기")))))</x:f>
      </x:c>
    </x:row>
    <x:row r="45" ht="18" customHeight="1">
      <x:c r="A45" s="41"/>
      <x:c r="B45" s="38"/>
      <x:c r="C45" s="38"/>
      <x:c r="D45" s="41"/>
      <x:c r="E45" s="41"/>
      <x:c r="F45" s="38"/>
      <x:c r="G45" s="38"/>
      <x:c r="H45" s="138"/>
      <x:c r="I45" s="138"/>
      <x:c r="J45" s="138"/>
      <x:c r="K45" s="144"/>
      <x:c r="L45" s="144"/>
      <x:c r="M45" s="38"/>
      <x:c r="N45" s="38"/>
      <x:c r="O45" s="38"/>
      <x:c r="P45" s="38"/>
      <x:c r="Q45" s="138"/>
      <x:c r="R45" s="138"/>
      <x:c r="S45" s="138"/>
      <x:c r="T45" s="144"/>
      <x:c r="U45" s="144"/>
      <x:c r="V45" s="38"/>
      <x:c r="W45" s="38"/>
      <x:c r="X45" s="38"/>
      <x:c r="Y45" s="38"/>
      <x:c r="Z45" s="138"/>
      <x:c r="AA45" s="138"/>
      <x:c r="AB45" s="138"/>
      <x:c r="AC45" s="144"/>
      <x:c r="AD45" s="144"/>
      <x:c r="AE45" s="38"/>
      <x:c r="AF45" s="48" t="str">
        <x:f>IF(OR(G45="",I45="",J45&lt;&gt;""),"",IF(I45&lt;'요약'!$B$2,"만료",(YEAR(I45)-YEAR('요약'!$B$2))*12+MONTH(I45)-MONTH('요약'!$B$2)))</x:f>
      </x:c>
      <x:c r="AG45" s="48" t="str">
        <x:f>IF(G45="","",IF(AF45="만료","만료",IF(AF45=0,"이달",IF(AF45=1,"다음달",IF(AF45&lt;=3,"3개월 내","장기")))))</x:f>
      </x:c>
    </x:row>
    <x:row r="46" ht="18" customHeight="1">
      <x:c r="A46" s="41"/>
      <x:c r="B46" s="38"/>
      <x:c r="C46" s="38"/>
      <x:c r="D46" s="41"/>
      <x:c r="E46" s="41"/>
      <x:c r="F46" s="38"/>
      <x:c r="G46" s="38"/>
      <x:c r="H46" s="138"/>
      <x:c r="I46" s="138"/>
      <x:c r="J46" s="138"/>
      <x:c r="K46" s="144"/>
      <x:c r="L46" s="144"/>
      <x:c r="M46" s="38"/>
      <x:c r="N46" s="38"/>
      <x:c r="O46" s="38"/>
      <x:c r="P46" s="38"/>
      <x:c r="Q46" s="138"/>
      <x:c r="R46" s="138"/>
      <x:c r="S46" s="138"/>
      <x:c r="T46" s="144"/>
      <x:c r="U46" s="144"/>
      <x:c r="V46" s="38"/>
      <x:c r="W46" s="38"/>
      <x:c r="X46" s="38"/>
      <x:c r="Y46" s="38"/>
      <x:c r="Z46" s="138"/>
      <x:c r="AA46" s="138"/>
      <x:c r="AB46" s="138"/>
      <x:c r="AC46" s="144"/>
      <x:c r="AD46" s="144"/>
      <x:c r="AE46" s="38"/>
      <x:c r="AF46" s="48" t="str">
        <x:f>IF(OR(G46="",I46="",J46&lt;&gt;""),"",IF(I46&lt;'요약'!$B$2,"만료",(YEAR(I46)-YEAR('요약'!$B$2))*12+MONTH(I46)-MONTH('요약'!$B$2)))</x:f>
      </x:c>
      <x:c r="AG46" s="48" t="str">
        <x:f>IF(G46="","",IF(AF46="만료","만료",IF(AF46=0,"이달",IF(AF46=1,"다음달",IF(AF46&lt;=3,"3개월 내","장기")))))</x:f>
      </x:c>
    </x:row>
    <x:row r="47" ht="18" customHeight="1">
      <x:c r="A47" s="41"/>
      <x:c r="B47" s="38"/>
      <x:c r="C47" s="38"/>
      <x:c r="D47" s="41"/>
      <x:c r="E47" s="41"/>
      <x:c r="F47" s="38"/>
      <x:c r="G47" s="38"/>
      <x:c r="H47" s="138"/>
      <x:c r="I47" s="138"/>
      <x:c r="J47" s="138"/>
      <x:c r="K47" s="144"/>
      <x:c r="L47" s="144"/>
      <x:c r="M47" s="38"/>
      <x:c r="N47" s="38"/>
      <x:c r="O47" s="38"/>
      <x:c r="P47" s="38"/>
      <x:c r="Q47" s="138"/>
      <x:c r="R47" s="138"/>
      <x:c r="S47" s="138"/>
      <x:c r="T47" s="144"/>
      <x:c r="U47" s="144"/>
      <x:c r="V47" s="38"/>
      <x:c r="W47" s="38"/>
      <x:c r="X47" s="38"/>
      <x:c r="Y47" s="38"/>
      <x:c r="Z47" s="138"/>
      <x:c r="AA47" s="138"/>
      <x:c r="AB47" s="138"/>
      <x:c r="AC47" s="144"/>
      <x:c r="AD47" s="144"/>
      <x:c r="AE47" s="38"/>
      <x:c r="AF47" s="48" t="str">
        <x:f>IF(OR(G47="",I47="",J47&lt;&gt;""),"",IF(I47&lt;'요약'!$B$2,"만료",(YEAR(I47)-YEAR('요약'!$B$2))*12+MONTH(I47)-MONTH('요약'!$B$2)))</x:f>
      </x:c>
      <x:c r="AG47" s="48" t="str">
        <x:f>IF(G47="","",IF(AF47="만료","만료",IF(AF47=0,"이달",IF(AF47=1,"다음달",IF(AF47&lt;=3,"3개월 내","장기")))))</x:f>
      </x:c>
    </x:row>
    <x:row r="48" ht="18" customHeight="1">
      <x:c r="A48" s="41"/>
      <x:c r="B48" s="38"/>
      <x:c r="C48" s="38"/>
      <x:c r="D48" s="41"/>
      <x:c r="E48" s="41"/>
      <x:c r="F48" s="38"/>
      <x:c r="G48" s="38"/>
      <x:c r="H48" s="138"/>
      <x:c r="I48" s="138"/>
      <x:c r="J48" s="138"/>
      <x:c r="K48" s="144"/>
      <x:c r="L48" s="144"/>
      <x:c r="M48" s="38"/>
      <x:c r="N48" s="38"/>
      <x:c r="O48" s="38"/>
      <x:c r="P48" s="38"/>
      <x:c r="Q48" s="138"/>
      <x:c r="R48" s="138"/>
      <x:c r="S48" s="138"/>
      <x:c r="T48" s="144"/>
      <x:c r="U48" s="144"/>
      <x:c r="V48" s="38"/>
      <x:c r="W48" s="38"/>
      <x:c r="X48" s="38"/>
      <x:c r="Y48" s="38"/>
      <x:c r="Z48" s="138"/>
      <x:c r="AA48" s="138"/>
      <x:c r="AB48" s="138"/>
      <x:c r="AC48" s="144"/>
      <x:c r="AD48" s="144"/>
      <x:c r="AE48" s="38"/>
      <x:c r="AF48" s="48" t="str">
        <x:f>IF(OR(G48="",I48="",J48&lt;&gt;""),"",IF(I48&lt;'요약'!$B$2,"만료",(YEAR(I48)-YEAR('요약'!$B$2))*12+MONTH(I48)-MONTH('요약'!$B$2)))</x:f>
      </x:c>
      <x:c r="AG48" s="48" t="str">
        <x:f>IF(G48="","",IF(AF48="만료","만료",IF(AF48=0,"이달",IF(AF48=1,"다음달",IF(AF48&lt;=3,"3개월 내","장기")))))</x:f>
      </x:c>
    </x:row>
    <x:row r="49" ht="18" customHeight="1">
      <x:c r="A49" s="41"/>
      <x:c r="B49" s="38"/>
      <x:c r="C49" s="38"/>
      <x:c r="D49" s="41"/>
      <x:c r="E49" s="41"/>
      <x:c r="F49" s="38"/>
      <x:c r="G49" s="38"/>
      <x:c r="H49" s="138"/>
      <x:c r="I49" s="138"/>
      <x:c r="J49" s="138"/>
      <x:c r="K49" s="144"/>
      <x:c r="L49" s="144"/>
      <x:c r="M49" s="38"/>
      <x:c r="N49" s="38"/>
      <x:c r="O49" s="38"/>
      <x:c r="P49" s="38"/>
      <x:c r="Q49" s="138"/>
      <x:c r="R49" s="138"/>
      <x:c r="S49" s="138"/>
      <x:c r="T49" s="144"/>
      <x:c r="U49" s="144"/>
      <x:c r="V49" s="38"/>
      <x:c r="W49" s="38"/>
      <x:c r="X49" s="38"/>
      <x:c r="Y49" s="38"/>
      <x:c r="Z49" s="138"/>
      <x:c r="AA49" s="138"/>
      <x:c r="AB49" s="138"/>
      <x:c r="AC49" s="144"/>
      <x:c r="AD49" s="144"/>
      <x:c r="AE49" s="38"/>
      <x:c r="AF49" s="48" t="str">
        <x:f>IF(OR(G49="",I49="",J49&lt;&gt;""),"",IF(I49&lt;'요약'!$B$2,"만료",(YEAR(I49)-YEAR('요약'!$B$2))*12+MONTH(I49)-MONTH('요약'!$B$2)))</x:f>
      </x:c>
      <x:c r="AG49" s="48" t="str">
        <x:f>IF(G49="","",IF(AF49="만료","만료",IF(AF49=0,"이달",IF(AF49=1,"다음달",IF(AF49&lt;=3,"3개월 내","장기")))))</x:f>
      </x:c>
    </x:row>
    <x:row r="50" ht="18" customHeight="1">
      <x:c r="A50" s="41"/>
      <x:c r="B50" s="38"/>
      <x:c r="C50" s="38"/>
      <x:c r="D50" s="41"/>
      <x:c r="E50" s="41"/>
      <x:c r="F50" s="38"/>
      <x:c r="G50" s="38"/>
      <x:c r="H50" s="138"/>
      <x:c r="I50" s="138"/>
      <x:c r="J50" s="138"/>
      <x:c r="K50" s="144"/>
      <x:c r="L50" s="144"/>
      <x:c r="M50" s="38"/>
      <x:c r="N50" s="38"/>
      <x:c r="O50" s="38"/>
      <x:c r="P50" s="38"/>
      <x:c r="Q50" s="138"/>
      <x:c r="R50" s="138"/>
      <x:c r="S50" s="138"/>
      <x:c r="T50" s="144"/>
      <x:c r="U50" s="144"/>
      <x:c r="V50" s="38"/>
      <x:c r="W50" s="38"/>
      <x:c r="X50" s="38"/>
      <x:c r="Y50" s="38"/>
      <x:c r="Z50" s="138"/>
      <x:c r="AA50" s="138"/>
      <x:c r="AB50" s="138"/>
      <x:c r="AC50" s="144"/>
      <x:c r="AD50" s="144"/>
      <x:c r="AE50" s="38"/>
      <x:c r="AF50" s="48" t="str">
        <x:f>IF(OR(G50="",I50="",J50&lt;&gt;""),"",IF(I50&lt;'요약'!$B$2,"만료",(YEAR(I50)-YEAR('요약'!$B$2))*12+MONTH(I50)-MONTH('요약'!$B$2)))</x:f>
      </x:c>
      <x:c r="AG50" s="48" t="str">
        <x:f>IF(G50="","",IF(AF50="만료","만료",IF(AF50=0,"이달",IF(AF50=1,"다음달",IF(AF50&lt;=3,"3개월 내","장기")))))</x:f>
      </x:c>
    </x:row>
    <x:row r="51" ht="18" customHeight="1">
      <x:c r="A51" s="41"/>
      <x:c r="B51" s="38"/>
      <x:c r="C51" s="38"/>
      <x:c r="D51" s="41"/>
      <x:c r="E51" s="41"/>
      <x:c r="F51" s="38"/>
      <x:c r="G51" s="38"/>
      <x:c r="H51" s="138"/>
      <x:c r="I51" s="138"/>
      <x:c r="J51" s="138"/>
      <x:c r="K51" s="144"/>
      <x:c r="L51" s="144"/>
      <x:c r="M51" s="38"/>
      <x:c r="N51" s="38"/>
      <x:c r="O51" s="38"/>
      <x:c r="P51" s="38"/>
      <x:c r="Q51" s="138"/>
      <x:c r="R51" s="138"/>
      <x:c r="S51" s="138"/>
      <x:c r="T51" s="144"/>
      <x:c r="U51" s="144"/>
      <x:c r="V51" s="38"/>
      <x:c r="W51" s="38"/>
      <x:c r="X51" s="38"/>
      <x:c r="Y51" s="38"/>
      <x:c r="Z51" s="138"/>
      <x:c r="AA51" s="138"/>
      <x:c r="AB51" s="138"/>
      <x:c r="AC51" s="144"/>
      <x:c r="AD51" s="144"/>
      <x:c r="AE51" s="38"/>
      <x:c r="AF51" s="48" t="str">
        <x:f>IF(OR(G51="",I51="",J51&lt;&gt;""),"",IF(I51&lt;'요약'!$B$2,"만료",(YEAR(I51)-YEAR('요약'!$B$2))*12+MONTH(I51)-MONTH('요약'!$B$2)))</x:f>
      </x:c>
      <x:c r="AG51" s="48" t="str">
        <x:f>IF(G51="","",IF(AF51="만료","만료",IF(AF51=0,"이달",IF(AF51=1,"다음달",IF(AF51&lt;=3,"3개월 내","장기")))))</x:f>
      </x:c>
    </x:row>
    <x:row r="52" ht="18" customHeight="1">
      <x:c r="A52" s="41"/>
      <x:c r="B52" s="38"/>
      <x:c r="C52" s="38"/>
      <x:c r="D52" s="41"/>
      <x:c r="E52" s="41"/>
      <x:c r="F52" s="38"/>
      <x:c r="G52" s="38"/>
      <x:c r="H52" s="138"/>
      <x:c r="I52" s="138"/>
      <x:c r="J52" s="138"/>
      <x:c r="K52" s="144"/>
      <x:c r="L52" s="144"/>
      <x:c r="M52" s="38"/>
      <x:c r="N52" s="38"/>
      <x:c r="O52" s="38"/>
      <x:c r="P52" s="38"/>
      <x:c r="Q52" s="138"/>
      <x:c r="R52" s="138"/>
      <x:c r="S52" s="138"/>
      <x:c r="T52" s="144"/>
      <x:c r="U52" s="144"/>
      <x:c r="V52" s="38"/>
      <x:c r="W52" s="38"/>
      <x:c r="X52" s="38"/>
      <x:c r="Y52" s="38"/>
      <x:c r="Z52" s="138"/>
      <x:c r="AA52" s="138"/>
      <x:c r="AB52" s="138"/>
      <x:c r="AC52" s="144"/>
      <x:c r="AD52" s="144"/>
      <x:c r="AE52" s="38"/>
      <x:c r="AF52" s="48" t="str">
        <x:f>IF(OR(G52="",I52="",J52&lt;&gt;""),"",IF(I52&lt;'요약'!$B$2,"만료",(YEAR(I52)-YEAR('요약'!$B$2))*12+MONTH(I52)-MONTH('요약'!$B$2)))</x:f>
      </x:c>
      <x:c r="AG52" s="48" t="str">
        <x:f>IF(G52="","",IF(AF52="만료","만료",IF(AF52=0,"이달",IF(AF52=1,"다음달",IF(AF52&lt;=3,"3개월 내","장기")))))</x:f>
      </x:c>
    </x:row>
    <x:row r="53" ht="18" customHeight="1">
      <x:c r="A53" s="41"/>
      <x:c r="B53" s="38"/>
      <x:c r="C53" s="38"/>
      <x:c r="D53" s="41"/>
      <x:c r="E53" s="41"/>
      <x:c r="F53" s="38"/>
      <x:c r="G53" s="38"/>
      <x:c r="H53" s="138"/>
      <x:c r="I53" s="138"/>
      <x:c r="J53" s="138"/>
      <x:c r="K53" s="144"/>
      <x:c r="L53" s="144"/>
      <x:c r="M53" s="38"/>
      <x:c r="N53" s="38"/>
      <x:c r="O53" s="38"/>
      <x:c r="P53" s="38"/>
      <x:c r="Q53" s="138"/>
      <x:c r="R53" s="138"/>
      <x:c r="S53" s="138"/>
      <x:c r="T53" s="144"/>
      <x:c r="U53" s="144"/>
      <x:c r="V53" s="38"/>
      <x:c r="W53" s="38"/>
      <x:c r="X53" s="38"/>
      <x:c r="Y53" s="38"/>
      <x:c r="Z53" s="138"/>
      <x:c r="AA53" s="138"/>
      <x:c r="AB53" s="138"/>
      <x:c r="AC53" s="144"/>
      <x:c r="AD53" s="144"/>
      <x:c r="AE53" s="38"/>
      <x:c r="AF53" s="48" t="str">
        <x:f>IF(OR(G53="",I53="",J53&lt;&gt;""),"",IF(I53&lt;'요약'!$B$2,"만료",(YEAR(I53)-YEAR('요약'!$B$2))*12+MONTH(I53)-MONTH('요약'!$B$2)))</x:f>
      </x:c>
      <x:c r="AG53" s="48" t="str">
        <x:f>IF(G53="","",IF(AF53="만료","만료",IF(AF53=0,"이달",IF(AF53=1,"다음달",IF(AF53&lt;=3,"3개월 내","장기")))))</x:f>
      </x:c>
    </x:row>
    <x:row r="54" ht="18" customHeight="1">
      <x:c r="A54" s="41"/>
      <x:c r="B54" s="38"/>
      <x:c r="C54" s="38"/>
      <x:c r="D54" s="41"/>
      <x:c r="E54" s="41"/>
      <x:c r="F54" s="38"/>
      <x:c r="G54" s="38"/>
      <x:c r="H54" s="138"/>
      <x:c r="I54" s="138"/>
      <x:c r="J54" s="138"/>
      <x:c r="K54" s="144"/>
      <x:c r="L54" s="144"/>
      <x:c r="M54" s="38"/>
      <x:c r="N54" s="38"/>
      <x:c r="O54" s="38"/>
      <x:c r="P54" s="38"/>
      <x:c r="Q54" s="138"/>
      <x:c r="R54" s="138"/>
      <x:c r="S54" s="138"/>
      <x:c r="T54" s="144"/>
      <x:c r="U54" s="144"/>
      <x:c r="V54" s="38"/>
      <x:c r="W54" s="38"/>
      <x:c r="X54" s="38"/>
      <x:c r="Y54" s="38"/>
      <x:c r="Z54" s="138"/>
      <x:c r="AA54" s="138"/>
      <x:c r="AB54" s="138"/>
      <x:c r="AC54" s="144"/>
      <x:c r="AD54" s="144"/>
      <x:c r="AE54" s="38"/>
      <x:c r="AF54" s="48" t="str">
        <x:f>IF(OR(G54="",I54="",J54&lt;&gt;""),"",IF(I54&lt;'요약'!$B$2,"만료",(YEAR(I54)-YEAR('요약'!$B$2))*12+MONTH(I54)-MONTH('요약'!$B$2)))</x:f>
      </x:c>
      <x:c r="AG54" s="48" t="str">
        <x:f>IF(G54="","",IF(AF54="만료","만료",IF(AF54=0,"이달",IF(AF54=1,"다음달",IF(AF54&lt;=3,"3개월 내","장기")))))</x:f>
      </x:c>
    </x:row>
    <x:row r="55" ht="18" customHeight="1">
      <x:c r="A55" s="41"/>
      <x:c r="B55" s="38"/>
      <x:c r="C55" s="38"/>
      <x:c r="D55" s="41"/>
      <x:c r="E55" s="41"/>
      <x:c r="F55" s="38"/>
      <x:c r="G55" s="38"/>
      <x:c r="H55" s="138"/>
      <x:c r="I55" s="138"/>
      <x:c r="J55" s="138"/>
      <x:c r="K55" s="144"/>
      <x:c r="L55" s="144"/>
      <x:c r="M55" s="38"/>
      <x:c r="N55" s="38"/>
      <x:c r="O55" s="38"/>
      <x:c r="P55" s="38"/>
      <x:c r="Q55" s="138"/>
      <x:c r="R55" s="138"/>
      <x:c r="S55" s="138"/>
      <x:c r="T55" s="144"/>
      <x:c r="U55" s="144"/>
      <x:c r="V55" s="38"/>
      <x:c r="W55" s="38"/>
      <x:c r="X55" s="38"/>
      <x:c r="Y55" s="38"/>
      <x:c r="Z55" s="138"/>
      <x:c r="AA55" s="138"/>
      <x:c r="AB55" s="138"/>
      <x:c r="AC55" s="144"/>
      <x:c r="AD55" s="144"/>
      <x:c r="AE55" s="38"/>
      <x:c r="AF55" s="48" t="str">
        <x:f>IF(OR(G55="",I55="",J55&lt;&gt;""),"",IF(I55&lt;'요약'!$B$2,"만료",(YEAR(I55)-YEAR('요약'!$B$2))*12+MONTH(I55)-MONTH('요약'!$B$2)))</x:f>
      </x:c>
      <x:c r="AG55" s="48" t="str">
        <x:f>IF(G55="","",IF(AF55="만료","만료",IF(AF55=0,"이달",IF(AF55=1,"다음달",IF(AF55&lt;=3,"3개월 내","장기")))))</x:f>
      </x:c>
    </x:row>
    <x:row r="56" ht="18" customHeight="1">
      <x:c r="A56" s="41"/>
      <x:c r="B56" s="38"/>
      <x:c r="C56" s="38"/>
      <x:c r="D56" s="41"/>
      <x:c r="E56" s="41"/>
      <x:c r="F56" s="38"/>
      <x:c r="G56" s="38"/>
      <x:c r="H56" s="138"/>
      <x:c r="I56" s="138"/>
      <x:c r="J56" s="138"/>
      <x:c r="K56" s="144"/>
      <x:c r="L56" s="144"/>
      <x:c r="M56" s="38"/>
      <x:c r="N56" s="38"/>
      <x:c r="O56" s="38"/>
      <x:c r="P56" s="38"/>
      <x:c r="Q56" s="138"/>
      <x:c r="R56" s="138"/>
      <x:c r="S56" s="138"/>
      <x:c r="T56" s="144"/>
      <x:c r="U56" s="144"/>
      <x:c r="V56" s="38"/>
      <x:c r="W56" s="38"/>
      <x:c r="X56" s="38"/>
      <x:c r="Y56" s="38"/>
      <x:c r="Z56" s="138"/>
      <x:c r="AA56" s="138"/>
      <x:c r="AB56" s="138"/>
      <x:c r="AC56" s="144"/>
      <x:c r="AD56" s="144"/>
      <x:c r="AE56" s="38"/>
      <x:c r="AF56" s="48" t="str">
        <x:f>IF(OR(G56="",I56="",J56&lt;&gt;""),"",IF(I56&lt;'요약'!$B$2,"만료",(YEAR(I56)-YEAR('요약'!$B$2))*12+MONTH(I56)-MONTH('요약'!$B$2)))</x:f>
      </x:c>
      <x:c r="AG56" s="48" t="str">
        <x:f>IF(G56="","",IF(AF56="만료","만료",IF(AF56=0,"이달",IF(AF56=1,"다음달",IF(AF56&lt;=3,"3개월 내","장기")))))</x:f>
      </x:c>
    </x:row>
    <x:row r="57" ht="18" customHeight="1">
      <x:c r="A57" s="41"/>
      <x:c r="B57" s="38"/>
      <x:c r="C57" s="38"/>
      <x:c r="D57" s="41"/>
      <x:c r="E57" s="41"/>
      <x:c r="F57" s="38"/>
      <x:c r="G57" s="38"/>
      <x:c r="H57" s="138"/>
      <x:c r="I57" s="138"/>
      <x:c r="J57" s="138"/>
      <x:c r="K57" s="144"/>
      <x:c r="L57" s="144"/>
      <x:c r="M57" s="38"/>
      <x:c r="N57" s="38"/>
      <x:c r="O57" s="38"/>
      <x:c r="P57" s="38"/>
      <x:c r="Q57" s="138"/>
      <x:c r="R57" s="138"/>
      <x:c r="S57" s="138"/>
      <x:c r="T57" s="144"/>
      <x:c r="U57" s="144"/>
      <x:c r="V57" s="38"/>
      <x:c r="W57" s="38"/>
      <x:c r="X57" s="38"/>
      <x:c r="Y57" s="38"/>
      <x:c r="Z57" s="138"/>
      <x:c r="AA57" s="138"/>
      <x:c r="AB57" s="138"/>
      <x:c r="AC57" s="144"/>
      <x:c r="AD57" s="144"/>
      <x:c r="AE57" s="38"/>
      <x:c r="AF57" s="48" t="str">
        <x:f>IF(OR(G57="",I57="",J57&lt;&gt;""),"",IF(I57&lt;'요약'!$B$2,"만료",(YEAR(I57)-YEAR('요약'!$B$2))*12+MONTH(I57)-MONTH('요약'!$B$2)))</x:f>
      </x:c>
      <x:c r="AG57" s="48" t="str">
        <x:f>IF(G57="","",IF(AF57="만료","만료",IF(AF57=0,"이달",IF(AF57=1,"다음달",IF(AF57&lt;=3,"3개월 내","장기")))))</x:f>
      </x:c>
    </x:row>
    <x:row r="58" ht="18" customHeight="1">
      <x:c r="A58" s="41"/>
      <x:c r="B58" s="38"/>
      <x:c r="C58" s="38"/>
      <x:c r="D58" s="41"/>
      <x:c r="E58" s="41"/>
      <x:c r="F58" s="38"/>
      <x:c r="G58" s="38"/>
      <x:c r="H58" s="138"/>
      <x:c r="I58" s="138"/>
      <x:c r="J58" s="138"/>
      <x:c r="K58" s="144"/>
      <x:c r="L58" s="144"/>
      <x:c r="M58" s="38"/>
      <x:c r="N58" s="38"/>
      <x:c r="O58" s="38"/>
      <x:c r="P58" s="38"/>
      <x:c r="Q58" s="138"/>
      <x:c r="R58" s="138"/>
      <x:c r="S58" s="138"/>
      <x:c r="T58" s="144"/>
      <x:c r="U58" s="144"/>
      <x:c r="V58" s="38"/>
      <x:c r="W58" s="38"/>
      <x:c r="X58" s="38"/>
      <x:c r="Y58" s="38"/>
      <x:c r="Z58" s="138"/>
      <x:c r="AA58" s="138"/>
      <x:c r="AB58" s="138"/>
      <x:c r="AC58" s="144"/>
      <x:c r="AD58" s="144"/>
      <x:c r="AE58" s="38"/>
      <x:c r="AF58" s="48" t="str">
        <x:f>IF(OR(G58="",I58="",J58&lt;&gt;""),"",IF(I58&lt;'요약'!$B$2,"만료",(YEAR(I58)-YEAR('요약'!$B$2))*12+MONTH(I58)-MONTH('요약'!$B$2)))</x:f>
      </x:c>
      <x:c r="AG58" s="48" t="str">
        <x:f>IF(G58="","",IF(AF58="만료","만료",IF(AF58=0,"이달",IF(AF58=1,"다음달",IF(AF58&lt;=3,"3개월 내","장기")))))</x:f>
      </x:c>
    </x:row>
    <x:row r="59" ht="18" customHeight="1">
      <x:c r="A59" s="41"/>
      <x:c r="B59" s="38"/>
      <x:c r="C59" s="38"/>
      <x:c r="D59" s="41"/>
      <x:c r="E59" s="41"/>
      <x:c r="F59" s="38"/>
      <x:c r="G59" s="38"/>
      <x:c r="H59" s="138"/>
      <x:c r="I59" s="138"/>
      <x:c r="J59" s="138"/>
      <x:c r="K59" s="144"/>
      <x:c r="L59" s="144"/>
      <x:c r="M59" s="38"/>
      <x:c r="N59" s="38"/>
      <x:c r="O59" s="38"/>
      <x:c r="P59" s="38"/>
      <x:c r="Q59" s="138"/>
      <x:c r="R59" s="138"/>
      <x:c r="S59" s="138"/>
      <x:c r="T59" s="144"/>
      <x:c r="U59" s="144"/>
      <x:c r="V59" s="38"/>
      <x:c r="W59" s="38"/>
      <x:c r="X59" s="38"/>
      <x:c r="Y59" s="38"/>
      <x:c r="Z59" s="138"/>
      <x:c r="AA59" s="138"/>
      <x:c r="AB59" s="138"/>
      <x:c r="AC59" s="144"/>
      <x:c r="AD59" s="144"/>
      <x:c r="AE59" s="38"/>
      <x:c r="AF59" s="48" t="str">
        <x:f>IF(OR(G59="",I59="",J59&lt;&gt;""),"",IF(I59&lt;'요약'!$B$2,"만료",(YEAR(I59)-YEAR('요약'!$B$2))*12+MONTH(I59)-MONTH('요약'!$B$2)))</x:f>
      </x:c>
      <x:c r="AG59" s="48" t="str">
        <x:f>IF(G59="","",IF(AF59="만료","만료",IF(AF59=0,"이달",IF(AF59=1,"다음달",IF(AF59&lt;=3,"3개월 내","장기")))))</x:f>
      </x:c>
    </x:row>
    <x:row r="60" ht="18" customHeight="1">
      <x:c r="A60" s="41"/>
      <x:c r="B60" s="38"/>
      <x:c r="C60" s="38"/>
      <x:c r="D60" s="41"/>
      <x:c r="E60" s="41"/>
      <x:c r="F60" s="38"/>
      <x:c r="G60" s="38"/>
      <x:c r="H60" s="138"/>
      <x:c r="I60" s="138"/>
      <x:c r="J60" s="138"/>
      <x:c r="K60" s="144"/>
      <x:c r="L60" s="144"/>
      <x:c r="M60" s="38"/>
      <x:c r="N60" s="38"/>
      <x:c r="O60" s="38"/>
      <x:c r="P60" s="38"/>
      <x:c r="Q60" s="138"/>
      <x:c r="R60" s="138"/>
      <x:c r="S60" s="138"/>
      <x:c r="T60" s="144"/>
      <x:c r="U60" s="144"/>
      <x:c r="V60" s="38"/>
      <x:c r="W60" s="38"/>
      <x:c r="X60" s="38"/>
      <x:c r="Y60" s="38"/>
      <x:c r="Z60" s="138"/>
      <x:c r="AA60" s="138"/>
      <x:c r="AB60" s="138"/>
      <x:c r="AC60" s="144"/>
      <x:c r="AD60" s="144"/>
      <x:c r="AE60" s="38"/>
      <x:c r="AF60" s="48" t="str">
        <x:f>IF(OR(G60="",I60="",J60&lt;&gt;""),"",IF(I60&lt;'요약'!$B$2,"만료",(YEAR(I60)-YEAR('요약'!$B$2))*12+MONTH(I60)-MONTH('요약'!$B$2)))</x:f>
      </x:c>
      <x:c r="AG60" s="48" t="str">
        <x:f>IF(G60="","",IF(AF60="만료","만료",IF(AF60=0,"이달",IF(AF60=1,"다음달",IF(AF60&lt;=3,"3개월 내","장기")))))</x:f>
      </x:c>
    </x:row>
    <x:row r="61" ht="18" customHeight="1">
      <x:c r="A61" s="41"/>
      <x:c r="B61" s="38"/>
      <x:c r="C61" s="38"/>
      <x:c r="D61" s="41"/>
      <x:c r="E61" s="41"/>
      <x:c r="F61" s="38"/>
      <x:c r="G61" s="38"/>
      <x:c r="H61" s="138"/>
      <x:c r="I61" s="138"/>
      <x:c r="J61" s="138"/>
      <x:c r="K61" s="144"/>
      <x:c r="L61" s="144"/>
      <x:c r="M61" s="38"/>
      <x:c r="N61" s="38"/>
      <x:c r="O61" s="38"/>
      <x:c r="P61" s="38"/>
      <x:c r="Q61" s="138"/>
      <x:c r="R61" s="138"/>
      <x:c r="S61" s="138"/>
      <x:c r="T61" s="144"/>
      <x:c r="U61" s="144"/>
      <x:c r="V61" s="38"/>
      <x:c r="W61" s="38"/>
      <x:c r="X61" s="38"/>
      <x:c r="Y61" s="38"/>
      <x:c r="Z61" s="138"/>
      <x:c r="AA61" s="138"/>
      <x:c r="AB61" s="138"/>
      <x:c r="AC61" s="144"/>
      <x:c r="AD61" s="144"/>
      <x:c r="AE61" s="38"/>
      <x:c r="AF61" s="48" t="str">
        <x:f>IF(OR(G61="",I61="",J61&lt;&gt;""),"",IF(I61&lt;'요약'!$B$2,"만료",(YEAR(I61)-YEAR('요약'!$B$2))*12+MONTH(I61)-MONTH('요약'!$B$2)))</x:f>
      </x:c>
      <x:c r="AG61" s="48" t="str">
        <x:f>IF(G61="","",IF(AF61="만료","만료",IF(AF61=0,"이달",IF(AF61=1,"다음달",IF(AF61&lt;=3,"3개월 내","장기")))))</x:f>
      </x:c>
    </x:row>
    <x:row r="62" ht="18" customHeight="1">
      <x:c r="A62" s="41"/>
      <x:c r="B62" s="38"/>
      <x:c r="C62" s="38"/>
      <x:c r="D62" s="41"/>
      <x:c r="E62" s="41"/>
      <x:c r="F62" s="38"/>
      <x:c r="G62" s="38"/>
      <x:c r="H62" s="138"/>
      <x:c r="I62" s="138"/>
      <x:c r="J62" s="138"/>
      <x:c r="K62" s="144"/>
      <x:c r="L62" s="144"/>
      <x:c r="M62" s="38"/>
      <x:c r="N62" s="38"/>
      <x:c r="O62" s="38"/>
      <x:c r="P62" s="38"/>
      <x:c r="Q62" s="138"/>
      <x:c r="R62" s="138"/>
      <x:c r="S62" s="138"/>
      <x:c r="T62" s="144"/>
      <x:c r="U62" s="144"/>
      <x:c r="V62" s="38"/>
      <x:c r="W62" s="38"/>
      <x:c r="X62" s="38"/>
      <x:c r="Y62" s="38"/>
      <x:c r="Z62" s="138"/>
      <x:c r="AA62" s="138"/>
      <x:c r="AB62" s="138"/>
      <x:c r="AC62" s="144"/>
      <x:c r="AD62" s="144"/>
      <x:c r="AE62" s="38"/>
      <x:c r="AF62" s="48" t="str">
        <x:f>IF(OR(G62="",I62="",J62&lt;&gt;""),"",IF(I62&lt;'요약'!$B$2,"만료",(YEAR(I62)-YEAR('요약'!$B$2))*12+MONTH(I62)-MONTH('요약'!$B$2)))</x:f>
      </x:c>
      <x:c r="AG62" s="48" t="str">
        <x:f>IF(G62="","",IF(AF62="만료","만료",IF(AF62=0,"이달",IF(AF62=1,"다음달",IF(AF62&lt;=3,"3개월 내","장기")))))</x:f>
      </x:c>
    </x:row>
    <x:row r="63" ht="18" customHeight="1">
      <x:c r="A63" s="41"/>
      <x:c r="B63" s="38"/>
      <x:c r="C63" s="38"/>
      <x:c r="D63" s="41"/>
      <x:c r="E63" s="41"/>
      <x:c r="F63" s="38"/>
      <x:c r="G63" s="38"/>
      <x:c r="H63" s="138"/>
      <x:c r="I63" s="138"/>
      <x:c r="J63" s="138"/>
      <x:c r="K63" s="144"/>
      <x:c r="L63" s="144"/>
      <x:c r="M63" s="38"/>
      <x:c r="N63" s="38"/>
      <x:c r="O63" s="38"/>
      <x:c r="P63" s="38"/>
      <x:c r="Q63" s="138"/>
      <x:c r="R63" s="138"/>
      <x:c r="S63" s="138"/>
      <x:c r="T63" s="144"/>
      <x:c r="U63" s="144"/>
      <x:c r="V63" s="38"/>
      <x:c r="W63" s="38"/>
      <x:c r="X63" s="38"/>
      <x:c r="Y63" s="38"/>
      <x:c r="Z63" s="138"/>
      <x:c r="AA63" s="138"/>
      <x:c r="AB63" s="138"/>
      <x:c r="AC63" s="144"/>
      <x:c r="AD63" s="144"/>
      <x:c r="AE63" s="38"/>
      <x:c r="AF63" s="48" t="str">
        <x:f>IF(OR(G63="",I63="",J63&lt;&gt;""),"",IF(I63&lt;'요약'!$B$2,"만료",(YEAR(I63)-YEAR('요약'!$B$2))*12+MONTH(I63)-MONTH('요약'!$B$2)))</x:f>
      </x:c>
      <x:c r="AG63" s="48" t="str">
        <x:f>IF(G63="","",IF(AF63="만료","만료",IF(AF63=0,"이달",IF(AF63=1,"다음달",IF(AF63&lt;=3,"3개월 내","장기")))))</x:f>
      </x:c>
    </x:row>
    <x:row r="64" ht="18" customHeight="1">
      <x:c r="A64" s="41"/>
      <x:c r="B64" s="38"/>
      <x:c r="C64" s="38"/>
      <x:c r="D64" s="41"/>
      <x:c r="E64" s="41"/>
      <x:c r="F64" s="38"/>
      <x:c r="G64" s="38"/>
      <x:c r="H64" s="138"/>
      <x:c r="I64" s="138"/>
      <x:c r="J64" s="138"/>
      <x:c r="K64" s="144"/>
      <x:c r="L64" s="144"/>
      <x:c r="M64" s="38"/>
      <x:c r="N64" s="38"/>
      <x:c r="O64" s="38"/>
      <x:c r="P64" s="38"/>
      <x:c r="Q64" s="138"/>
      <x:c r="R64" s="138"/>
      <x:c r="S64" s="138"/>
      <x:c r="T64" s="144"/>
      <x:c r="U64" s="144"/>
      <x:c r="V64" s="38"/>
      <x:c r="W64" s="38"/>
      <x:c r="X64" s="38"/>
      <x:c r="Y64" s="38"/>
      <x:c r="Z64" s="138"/>
      <x:c r="AA64" s="138"/>
      <x:c r="AB64" s="138"/>
      <x:c r="AC64" s="144"/>
      <x:c r="AD64" s="144"/>
      <x:c r="AE64" s="38"/>
      <x:c r="AF64" s="48" t="str">
        <x:f>IF(OR(G64="",I64="",J64&lt;&gt;""),"",IF(I64&lt;'요약'!$B$2,"만료",(YEAR(I64)-YEAR('요약'!$B$2))*12+MONTH(I64)-MONTH('요약'!$B$2)))</x:f>
      </x:c>
      <x:c r="AG64" s="48" t="str">
        <x:f>IF(G64="","",IF(AF64="만료","만료",IF(AF64=0,"이달",IF(AF64=1,"다음달",IF(AF64&lt;=3,"3개월 내","장기")))))</x:f>
      </x:c>
    </x:row>
    <x:row r="65" ht="18" customHeight="1">
      <x:c r="A65" s="41"/>
      <x:c r="B65" s="38"/>
      <x:c r="C65" s="38"/>
      <x:c r="D65" s="41"/>
      <x:c r="E65" s="41"/>
      <x:c r="F65" s="38"/>
      <x:c r="G65" s="38"/>
      <x:c r="H65" s="138"/>
      <x:c r="I65" s="138"/>
      <x:c r="J65" s="138"/>
      <x:c r="K65" s="144"/>
      <x:c r="L65" s="144"/>
      <x:c r="M65" s="38"/>
      <x:c r="N65" s="38"/>
      <x:c r="O65" s="38"/>
      <x:c r="P65" s="38"/>
      <x:c r="Q65" s="138"/>
      <x:c r="R65" s="138"/>
      <x:c r="S65" s="138"/>
      <x:c r="T65" s="144"/>
      <x:c r="U65" s="144"/>
      <x:c r="V65" s="38"/>
      <x:c r="W65" s="38"/>
      <x:c r="X65" s="38"/>
      <x:c r="Y65" s="38"/>
      <x:c r="Z65" s="138"/>
      <x:c r="AA65" s="138"/>
      <x:c r="AB65" s="138"/>
      <x:c r="AC65" s="144"/>
      <x:c r="AD65" s="144"/>
      <x:c r="AE65" s="38"/>
      <x:c r="AF65" s="48" t="str">
        <x:f>IF(OR(G65="",I65="",J65&lt;&gt;""),"",IF(I65&lt;'요약'!$B$2,"만료",(YEAR(I65)-YEAR('요약'!$B$2))*12+MONTH(I65)-MONTH('요약'!$B$2)))</x:f>
      </x:c>
      <x:c r="AG65" s="48" t="str">
        <x:f>IF(G65="","",IF(AF65="만료","만료",IF(AF65=0,"이달",IF(AF65=1,"다음달",IF(AF65&lt;=3,"3개월 내","장기")))))</x:f>
      </x:c>
    </x:row>
    <x:row r="66" ht="18" customHeight="1">
      <x:c r="A66" s="41"/>
      <x:c r="B66" s="38"/>
      <x:c r="C66" s="38"/>
      <x:c r="D66" s="41"/>
      <x:c r="E66" s="41"/>
      <x:c r="F66" s="38"/>
      <x:c r="G66" s="38"/>
      <x:c r="H66" s="138"/>
      <x:c r="I66" s="138"/>
      <x:c r="J66" s="138"/>
      <x:c r="K66" s="144"/>
      <x:c r="L66" s="144"/>
      <x:c r="M66" s="38"/>
      <x:c r="N66" s="38"/>
      <x:c r="O66" s="38"/>
      <x:c r="P66" s="38"/>
      <x:c r="Q66" s="138"/>
      <x:c r="R66" s="138"/>
      <x:c r="S66" s="138"/>
      <x:c r="T66" s="144"/>
      <x:c r="U66" s="144"/>
      <x:c r="V66" s="38"/>
      <x:c r="W66" s="38"/>
      <x:c r="X66" s="38"/>
      <x:c r="Y66" s="38"/>
      <x:c r="Z66" s="138"/>
      <x:c r="AA66" s="138"/>
      <x:c r="AB66" s="138"/>
      <x:c r="AC66" s="144"/>
      <x:c r="AD66" s="144"/>
      <x:c r="AE66" s="38"/>
      <x:c r="AF66" s="48" t="str">
        <x:f>IF(OR(G66="",I66="",J66&lt;&gt;""),"",IF(I66&lt;'요약'!$B$2,"만료",(YEAR(I66)-YEAR('요약'!$B$2))*12+MONTH(I66)-MONTH('요약'!$B$2)))</x:f>
      </x:c>
      <x:c r="AG66" s="48" t="str">
        <x:f>IF(G66="","",IF(AF66="만료","만료",IF(AF66=0,"이달",IF(AF66=1,"다음달",IF(AF66&lt;=3,"3개월 내","장기")))))</x:f>
      </x:c>
    </x:row>
    <x:row r="67" ht="18" customHeight="1">
      <x:c r="A67" s="41"/>
      <x:c r="B67" s="38"/>
      <x:c r="C67" s="38"/>
      <x:c r="D67" s="41"/>
      <x:c r="E67" s="41"/>
      <x:c r="F67" s="38"/>
      <x:c r="G67" s="38"/>
      <x:c r="H67" s="138"/>
      <x:c r="I67" s="138"/>
      <x:c r="J67" s="138"/>
      <x:c r="K67" s="144"/>
      <x:c r="L67" s="144"/>
      <x:c r="M67" s="38"/>
      <x:c r="N67" s="38"/>
      <x:c r="O67" s="38"/>
      <x:c r="P67" s="38"/>
      <x:c r="Q67" s="138"/>
      <x:c r="R67" s="138"/>
      <x:c r="S67" s="138"/>
      <x:c r="T67" s="144"/>
      <x:c r="U67" s="144"/>
      <x:c r="V67" s="38"/>
      <x:c r="W67" s="38"/>
      <x:c r="X67" s="38"/>
      <x:c r="Y67" s="38"/>
      <x:c r="Z67" s="138"/>
      <x:c r="AA67" s="138"/>
      <x:c r="AB67" s="138"/>
      <x:c r="AC67" s="144"/>
      <x:c r="AD67" s="144"/>
      <x:c r="AE67" s="38"/>
      <x:c r="AF67" s="48" t="str">
        <x:f>IF(OR(G67="",I67="",J67&lt;&gt;""),"",IF(I67&lt;'요약'!$B$2,"만료",(YEAR(I67)-YEAR('요약'!$B$2))*12+MONTH(I67)-MONTH('요약'!$B$2)))</x:f>
      </x:c>
      <x:c r="AG67" s="48" t="str">
        <x:f>IF(G67="","",IF(AF67="만료","만료",IF(AF67=0,"이달",IF(AF67=1,"다음달",IF(AF67&lt;=3,"3개월 내","장기")))))</x:f>
      </x:c>
    </x:row>
    <x:row r="68" ht="18" customHeight="1">
      <x:c r="A68" s="41"/>
      <x:c r="B68" s="38"/>
      <x:c r="C68" s="38"/>
      <x:c r="D68" s="41"/>
      <x:c r="E68" s="41"/>
      <x:c r="F68" s="38"/>
      <x:c r="G68" s="38"/>
      <x:c r="H68" s="138"/>
      <x:c r="I68" s="138"/>
      <x:c r="J68" s="138"/>
      <x:c r="K68" s="144"/>
      <x:c r="L68" s="144"/>
      <x:c r="M68" s="38"/>
      <x:c r="N68" s="38"/>
      <x:c r="O68" s="38"/>
      <x:c r="P68" s="38"/>
      <x:c r="Q68" s="138"/>
      <x:c r="R68" s="138"/>
      <x:c r="S68" s="138"/>
      <x:c r="T68" s="144"/>
      <x:c r="U68" s="144"/>
      <x:c r="V68" s="38"/>
      <x:c r="W68" s="38"/>
      <x:c r="X68" s="38"/>
      <x:c r="Y68" s="38"/>
      <x:c r="Z68" s="138"/>
      <x:c r="AA68" s="138"/>
      <x:c r="AB68" s="138"/>
      <x:c r="AC68" s="144"/>
      <x:c r="AD68" s="144"/>
      <x:c r="AE68" s="38"/>
      <x:c r="AF68" s="48" t="str">
        <x:f>IF(OR(G68="",I68="",J68&lt;&gt;""),"",IF(I68&lt;'요약'!$B$2,"만료",(YEAR(I68)-YEAR('요약'!$B$2))*12+MONTH(I68)-MONTH('요약'!$B$2)))</x:f>
      </x:c>
      <x:c r="AG68" s="48" t="str">
        <x:f>IF(G68="","",IF(AF68="만료","만료",IF(AF68=0,"이달",IF(AF68=1,"다음달",IF(AF68&lt;=3,"3개월 내","장기")))))</x:f>
      </x:c>
    </x:row>
    <x:row r="69" ht="18" customHeight="1">
      <x:c r="A69" s="41"/>
      <x:c r="B69" s="38"/>
      <x:c r="C69" s="38"/>
      <x:c r="D69" s="41"/>
      <x:c r="E69" s="41"/>
      <x:c r="F69" s="38"/>
      <x:c r="G69" s="38"/>
      <x:c r="H69" s="138"/>
      <x:c r="I69" s="138"/>
      <x:c r="J69" s="138"/>
      <x:c r="K69" s="144"/>
      <x:c r="L69" s="144"/>
      <x:c r="M69" s="38"/>
      <x:c r="N69" s="38"/>
      <x:c r="O69" s="38"/>
      <x:c r="P69" s="38"/>
      <x:c r="Q69" s="138"/>
      <x:c r="R69" s="138"/>
      <x:c r="S69" s="138"/>
      <x:c r="T69" s="144"/>
      <x:c r="U69" s="144"/>
      <x:c r="V69" s="38"/>
      <x:c r="W69" s="38"/>
      <x:c r="X69" s="38"/>
      <x:c r="Y69" s="38"/>
      <x:c r="Z69" s="138"/>
      <x:c r="AA69" s="138"/>
      <x:c r="AB69" s="138"/>
      <x:c r="AC69" s="144"/>
      <x:c r="AD69" s="144"/>
      <x:c r="AE69" s="38"/>
      <x:c r="AF69" s="48" t="str">
        <x:f>IF(OR(G69="",I69="",J69&lt;&gt;""),"",IF(I69&lt;'요약'!$B$2,"만료",(YEAR(I69)-YEAR('요약'!$B$2))*12+MONTH(I69)-MONTH('요약'!$B$2)))</x:f>
      </x:c>
      <x:c r="AG69" s="48" t="str">
        <x:f>IF(G69="","",IF(AF69="만료","만료",IF(AF69=0,"이달",IF(AF69=1,"다음달",IF(AF69&lt;=3,"3개월 내","장기")))))</x:f>
      </x:c>
    </x:row>
    <x:row r="70" ht="18" customHeight="1">
      <x:c r="A70" s="41"/>
      <x:c r="B70" s="38"/>
      <x:c r="C70" s="38"/>
      <x:c r="D70" s="41"/>
      <x:c r="E70" s="41"/>
      <x:c r="F70" s="38"/>
      <x:c r="G70" s="38"/>
      <x:c r="H70" s="138"/>
      <x:c r="I70" s="138"/>
      <x:c r="J70" s="138"/>
      <x:c r="K70" s="144"/>
      <x:c r="L70" s="144"/>
      <x:c r="M70" s="38"/>
      <x:c r="N70" s="38"/>
      <x:c r="O70" s="38"/>
      <x:c r="P70" s="38"/>
      <x:c r="Q70" s="138"/>
      <x:c r="R70" s="138"/>
      <x:c r="S70" s="138"/>
      <x:c r="T70" s="144"/>
      <x:c r="U70" s="144"/>
      <x:c r="V70" s="38"/>
      <x:c r="W70" s="38"/>
      <x:c r="X70" s="38"/>
      <x:c r="Y70" s="38"/>
      <x:c r="Z70" s="138"/>
      <x:c r="AA70" s="138"/>
      <x:c r="AB70" s="138"/>
      <x:c r="AC70" s="144"/>
      <x:c r="AD70" s="144"/>
      <x:c r="AE70" s="38"/>
      <x:c r="AF70" s="48" t="str">
        <x:f>IF(OR(G70="",I70="",J70&lt;&gt;""),"",IF(I70&lt;'요약'!$B$2,"만료",(YEAR(I70)-YEAR('요약'!$B$2))*12+MONTH(I70)-MONTH('요약'!$B$2)))</x:f>
      </x:c>
      <x:c r="AG70" s="48" t="str">
        <x:f>IF(G70="","",IF(AF70="만료","만료",IF(AF70=0,"이달",IF(AF70=1,"다음달",IF(AF70&lt;=3,"3개월 내","장기")))))</x:f>
      </x:c>
    </x:row>
    <x:row r="71" ht="18" customHeight="1">
      <x:c r="A71" s="41"/>
      <x:c r="B71" s="38"/>
      <x:c r="C71" s="38"/>
      <x:c r="D71" s="41"/>
      <x:c r="E71" s="41"/>
      <x:c r="F71" s="38"/>
      <x:c r="G71" s="38"/>
      <x:c r="H71" s="138"/>
      <x:c r="I71" s="138"/>
      <x:c r="J71" s="138"/>
      <x:c r="K71" s="144"/>
      <x:c r="L71" s="144"/>
      <x:c r="M71" s="38"/>
      <x:c r="N71" s="38"/>
      <x:c r="O71" s="38"/>
      <x:c r="P71" s="38"/>
      <x:c r="Q71" s="138"/>
      <x:c r="R71" s="138"/>
      <x:c r="S71" s="138"/>
      <x:c r="T71" s="144"/>
      <x:c r="U71" s="144"/>
      <x:c r="V71" s="38"/>
      <x:c r="W71" s="38"/>
      <x:c r="X71" s="38"/>
      <x:c r="Y71" s="38"/>
      <x:c r="Z71" s="138"/>
      <x:c r="AA71" s="138"/>
      <x:c r="AB71" s="138"/>
      <x:c r="AC71" s="144"/>
      <x:c r="AD71" s="144"/>
      <x:c r="AE71" s="38"/>
      <x:c r="AF71" s="48" t="str">
        <x:f>IF(OR(G71="",I71="",J71&lt;&gt;""),"",IF(I71&lt;'요약'!$B$2,"만료",(YEAR(I71)-YEAR('요약'!$B$2))*12+MONTH(I71)-MONTH('요약'!$B$2)))</x:f>
      </x:c>
      <x:c r="AG71" s="48" t="str">
        <x:f>IF(G71="","",IF(AF71="만료","만료",IF(AF71=0,"이달",IF(AF71=1,"다음달",IF(AF71&lt;=3,"3개월 내","장기")))))</x:f>
      </x:c>
    </x:row>
    <x:row r="72" ht="18" customHeight="1">
      <x:c r="A72" s="41"/>
      <x:c r="B72" s="38"/>
      <x:c r="C72" s="38"/>
      <x:c r="D72" s="41"/>
      <x:c r="E72" s="41"/>
      <x:c r="F72" s="38"/>
      <x:c r="G72" s="38"/>
      <x:c r="H72" s="138"/>
      <x:c r="I72" s="138"/>
      <x:c r="J72" s="138"/>
      <x:c r="K72" s="144"/>
      <x:c r="L72" s="144"/>
      <x:c r="M72" s="38"/>
      <x:c r="N72" s="38"/>
      <x:c r="O72" s="38"/>
      <x:c r="P72" s="38"/>
      <x:c r="Q72" s="138"/>
      <x:c r="R72" s="138"/>
      <x:c r="S72" s="138"/>
      <x:c r="T72" s="144"/>
      <x:c r="U72" s="144"/>
      <x:c r="V72" s="38"/>
      <x:c r="W72" s="38"/>
      <x:c r="X72" s="38"/>
      <x:c r="Y72" s="38"/>
      <x:c r="Z72" s="138"/>
      <x:c r="AA72" s="138"/>
      <x:c r="AB72" s="138"/>
      <x:c r="AC72" s="144"/>
      <x:c r="AD72" s="144"/>
      <x:c r="AE72" s="38"/>
      <x:c r="AF72" s="48" t="str">
        <x:f>IF(OR(G72="",I72="",J72&lt;&gt;""),"",IF(I72&lt;'요약'!$B$2,"만료",(YEAR(I72)-YEAR('요약'!$B$2))*12+MONTH(I72)-MONTH('요약'!$B$2)))</x:f>
      </x:c>
      <x:c r="AG72" s="48" t="str">
        <x:f>IF(G72="","",IF(AF72="만료","만료",IF(AF72=0,"이달",IF(AF72=1,"다음달",IF(AF72&lt;=3,"3개월 내","장기")))))</x:f>
      </x:c>
    </x:row>
    <x:row r="73" ht="18" customHeight="1">
      <x:c r="A73" s="41"/>
      <x:c r="B73" s="38"/>
      <x:c r="C73" s="38"/>
      <x:c r="D73" s="41"/>
      <x:c r="E73" s="41"/>
      <x:c r="F73" s="38"/>
      <x:c r="G73" s="38"/>
      <x:c r="H73" s="138"/>
      <x:c r="I73" s="138"/>
      <x:c r="J73" s="138"/>
      <x:c r="K73" s="144"/>
      <x:c r="L73" s="144"/>
      <x:c r="M73" s="38"/>
      <x:c r="N73" s="38"/>
      <x:c r="O73" s="38"/>
      <x:c r="P73" s="38"/>
      <x:c r="Q73" s="138"/>
      <x:c r="R73" s="138"/>
      <x:c r="S73" s="138"/>
      <x:c r="T73" s="144"/>
      <x:c r="U73" s="144"/>
      <x:c r="V73" s="38"/>
      <x:c r="W73" s="38"/>
      <x:c r="X73" s="38"/>
      <x:c r="Y73" s="38"/>
      <x:c r="Z73" s="138"/>
      <x:c r="AA73" s="138"/>
      <x:c r="AB73" s="138"/>
      <x:c r="AC73" s="144"/>
      <x:c r="AD73" s="144"/>
      <x:c r="AE73" s="38"/>
      <x:c r="AF73" s="48" t="str">
        <x:f>IF(OR(G73="",I73="",J73&lt;&gt;""),"",IF(I73&lt;'요약'!$B$2,"만료",(YEAR(I73)-YEAR('요약'!$B$2))*12+MONTH(I73)-MONTH('요약'!$B$2)))</x:f>
      </x:c>
      <x:c r="AG73" s="48" t="str">
        <x:f>IF(G73="","",IF(AF73="만료","만료",IF(AF73=0,"이달",IF(AF73=1,"다음달",IF(AF73&lt;=3,"3개월 내","장기")))))</x:f>
      </x:c>
    </x:row>
    <x:row r="74" ht="18" customHeight="1">
      <x:c r="A74" s="41"/>
      <x:c r="B74" s="38"/>
      <x:c r="C74" s="38"/>
      <x:c r="D74" s="41"/>
      <x:c r="E74" s="41"/>
      <x:c r="F74" s="38"/>
      <x:c r="G74" s="38"/>
      <x:c r="H74" s="138"/>
      <x:c r="I74" s="138"/>
      <x:c r="J74" s="138"/>
      <x:c r="K74" s="144"/>
      <x:c r="L74" s="144"/>
      <x:c r="M74" s="38"/>
      <x:c r="N74" s="38"/>
      <x:c r="O74" s="38"/>
      <x:c r="P74" s="38"/>
      <x:c r="Q74" s="138"/>
      <x:c r="R74" s="138"/>
      <x:c r="S74" s="138"/>
      <x:c r="T74" s="144"/>
      <x:c r="U74" s="144"/>
      <x:c r="V74" s="38"/>
      <x:c r="W74" s="38"/>
      <x:c r="X74" s="38"/>
      <x:c r="Y74" s="38"/>
      <x:c r="Z74" s="138"/>
      <x:c r="AA74" s="138"/>
      <x:c r="AB74" s="138"/>
      <x:c r="AC74" s="144"/>
      <x:c r="AD74" s="144"/>
      <x:c r="AE74" s="38"/>
      <x:c r="AF74" s="48" t="str">
        <x:f>IF(OR(G74="",I74="",J74&lt;&gt;""),"",IF(I74&lt;'요약'!$B$2,"만료",(YEAR(I74)-YEAR('요약'!$B$2))*12+MONTH(I74)-MONTH('요약'!$B$2)))</x:f>
      </x:c>
      <x:c r="AG74" s="48" t="str">
        <x:f>IF(G74="","",IF(AF74="만료","만료",IF(AF74=0,"이달",IF(AF74=1,"다음달",IF(AF74&lt;=3,"3개월 내","장기")))))</x:f>
      </x:c>
    </x:row>
    <x:row r="75" ht="18" customHeight="1">
      <x:c r="A75" s="41"/>
      <x:c r="B75" s="38"/>
      <x:c r="C75" s="38"/>
      <x:c r="D75" s="41"/>
      <x:c r="E75" s="41"/>
      <x:c r="F75" s="38"/>
      <x:c r="G75" s="38"/>
      <x:c r="H75" s="138"/>
      <x:c r="I75" s="138"/>
      <x:c r="J75" s="138"/>
      <x:c r="K75" s="144"/>
      <x:c r="L75" s="144"/>
      <x:c r="M75" s="38"/>
      <x:c r="N75" s="38"/>
      <x:c r="O75" s="38"/>
      <x:c r="P75" s="38"/>
      <x:c r="Q75" s="138"/>
      <x:c r="R75" s="138"/>
      <x:c r="S75" s="138"/>
      <x:c r="T75" s="144"/>
      <x:c r="U75" s="144"/>
      <x:c r="V75" s="38"/>
      <x:c r="W75" s="38"/>
      <x:c r="X75" s="38"/>
      <x:c r="Y75" s="38"/>
      <x:c r="Z75" s="138"/>
      <x:c r="AA75" s="138"/>
      <x:c r="AB75" s="138"/>
      <x:c r="AC75" s="144"/>
      <x:c r="AD75" s="144"/>
      <x:c r="AE75" s="38"/>
      <x:c r="AF75" s="48" t="str">
        <x:f>IF(OR(G75="",I75="",J75&lt;&gt;""),"",IF(I75&lt;'요약'!$B$2,"만료",(YEAR(I75)-YEAR('요약'!$B$2))*12+MONTH(I75)-MONTH('요약'!$B$2)))</x:f>
      </x:c>
      <x:c r="AG75" s="48" t="str">
        <x:f>IF(G75="","",IF(AF75="만료","만료",IF(AF75=0,"이달",IF(AF75=1,"다음달",IF(AF75&lt;=3,"3개월 내","장기")))))</x:f>
      </x:c>
    </x:row>
    <x:row r="76" ht="18" customHeight="1">
      <x:c r="A76" s="41"/>
      <x:c r="B76" s="38"/>
      <x:c r="C76" s="38"/>
      <x:c r="D76" s="41"/>
      <x:c r="E76" s="41"/>
      <x:c r="F76" s="38"/>
      <x:c r="G76" s="38"/>
      <x:c r="H76" s="138"/>
      <x:c r="I76" s="138"/>
      <x:c r="J76" s="138"/>
      <x:c r="K76" s="144"/>
      <x:c r="L76" s="144"/>
      <x:c r="M76" s="38"/>
      <x:c r="N76" s="38"/>
      <x:c r="O76" s="38"/>
      <x:c r="P76" s="38"/>
      <x:c r="Q76" s="138"/>
      <x:c r="R76" s="138"/>
      <x:c r="S76" s="138"/>
      <x:c r="T76" s="144"/>
      <x:c r="U76" s="144"/>
      <x:c r="V76" s="38"/>
      <x:c r="W76" s="38"/>
      <x:c r="X76" s="38"/>
      <x:c r="Y76" s="38"/>
      <x:c r="Z76" s="138"/>
      <x:c r="AA76" s="138"/>
      <x:c r="AB76" s="138"/>
      <x:c r="AC76" s="144"/>
      <x:c r="AD76" s="144"/>
      <x:c r="AE76" s="38"/>
      <x:c r="AF76" s="48" t="str">
        <x:f>IF(OR(G76="",I76="",J76&lt;&gt;""),"",IF(I76&lt;'요약'!$B$2,"만료",(YEAR(I76)-YEAR('요약'!$B$2))*12+MONTH(I76)-MONTH('요약'!$B$2)))</x:f>
      </x:c>
      <x:c r="AG76" s="48" t="str">
        <x:f>IF(G76="","",IF(AF76="만료","만료",IF(AF76=0,"이달",IF(AF76=1,"다음달",IF(AF76&lt;=3,"3개월 내","장기")))))</x:f>
      </x:c>
    </x:row>
    <x:row r="77" ht="18" customHeight="1">
      <x:c r="A77" s="41"/>
      <x:c r="B77" s="38"/>
      <x:c r="C77" s="38"/>
      <x:c r="D77" s="41"/>
      <x:c r="E77" s="41"/>
      <x:c r="F77" s="38"/>
      <x:c r="G77" s="38"/>
      <x:c r="H77" s="138"/>
      <x:c r="I77" s="138"/>
      <x:c r="J77" s="138"/>
      <x:c r="K77" s="144"/>
      <x:c r="L77" s="144"/>
      <x:c r="M77" s="38"/>
      <x:c r="N77" s="38"/>
      <x:c r="O77" s="38"/>
      <x:c r="P77" s="38"/>
      <x:c r="Q77" s="138"/>
      <x:c r="R77" s="138"/>
      <x:c r="S77" s="138"/>
      <x:c r="T77" s="144"/>
      <x:c r="U77" s="144"/>
      <x:c r="V77" s="38"/>
      <x:c r="W77" s="38"/>
      <x:c r="X77" s="38"/>
      <x:c r="Y77" s="38"/>
      <x:c r="Z77" s="138"/>
      <x:c r="AA77" s="138"/>
      <x:c r="AB77" s="138"/>
      <x:c r="AC77" s="144"/>
      <x:c r="AD77" s="144"/>
      <x:c r="AE77" s="38"/>
      <x:c r="AF77" s="48" t="str">
        <x:f>IF(OR(G77="",I77="",J77&lt;&gt;""),"",IF(I77&lt;'요약'!$B$2,"만료",(YEAR(I77)-YEAR('요약'!$B$2))*12+MONTH(I77)-MONTH('요약'!$B$2)))</x:f>
      </x:c>
      <x:c r="AG77" s="48" t="str">
        <x:f>IF(G77="","",IF(AF77="만료","만료",IF(AF77=0,"이달",IF(AF77=1,"다음달",IF(AF77&lt;=3,"3개월 내","장기")))))</x:f>
      </x:c>
    </x:row>
    <x:row r="78" ht="18" customHeight="1">
      <x:c r="A78" s="41"/>
      <x:c r="B78" s="38"/>
      <x:c r="C78" s="38"/>
      <x:c r="D78" s="41"/>
      <x:c r="E78" s="41"/>
      <x:c r="F78" s="38"/>
      <x:c r="G78" s="38"/>
      <x:c r="H78" s="138"/>
      <x:c r="I78" s="138"/>
      <x:c r="J78" s="138"/>
      <x:c r="K78" s="144"/>
      <x:c r="L78" s="144"/>
      <x:c r="M78" s="38"/>
      <x:c r="N78" s="38"/>
      <x:c r="O78" s="38"/>
      <x:c r="P78" s="38"/>
      <x:c r="Q78" s="138"/>
      <x:c r="R78" s="138"/>
      <x:c r="S78" s="138"/>
      <x:c r="T78" s="144"/>
      <x:c r="U78" s="144"/>
      <x:c r="V78" s="38"/>
      <x:c r="W78" s="38"/>
      <x:c r="X78" s="38"/>
      <x:c r="Y78" s="38"/>
      <x:c r="Z78" s="138"/>
      <x:c r="AA78" s="138"/>
      <x:c r="AB78" s="138"/>
      <x:c r="AC78" s="144"/>
      <x:c r="AD78" s="144"/>
      <x:c r="AE78" s="38"/>
      <x:c r="AF78" s="48" t="str">
        <x:f>IF(OR(G78="",I78="",J78&lt;&gt;""),"",IF(I78&lt;'요약'!$B$2,"만료",(YEAR(I78)-YEAR('요약'!$B$2))*12+MONTH(I78)-MONTH('요약'!$B$2)))</x:f>
      </x:c>
      <x:c r="AG78" s="48" t="str">
        <x:f>IF(G78="","",IF(AF78="만료","만료",IF(AF78=0,"이달",IF(AF78=1,"다음달",IF(AF78&lt;=3,"3개월 내","장기")))))</x:f>
      </x:c>
    </x:row>
    <x:row r="79" ht="18" customHeight="1">
      <x:c r="A79" s="41"/>
      <x:c r="B79" s="38"/>
      <x:c r="C79" s="38"/>
      <x:c r="D79" s="41"/>
      <x:c r="E79" s="41"/>
      <x:c r="F79" s="38"/>
      <x:c r="G79" s="38"/>
      <x:c r="H79" s="138"/>
      <x:c r="I79" s="138"/>
      <x:c r="J79" s="138"/>
      <x:c r="K79" s="144"/>
      <x:c r="L79" s="144"/>
      <x:c r="M79" s="38"/>
      <x:c r="N79" s="38"/>
      <x:c r="O79" s="38"/>
      <x:c r="P79" s="38"/>
      <x:c r="Q79" s="138"/>
      <x:c r="R79" s="138"/>
      <x:c r="S79" s="138"/>
      <x:c r="T79" s="144"/>
      <x:c r="U79" s="144"/>
      <x:c r="V79" s="38"/>
      <x:c r="W79" s="38"/>
      <x:c r="X79" s="38"/>
      <x:c r="Y79" s="38"/>
      <x:c r="Z79" s="138"/>
      <x:c r="AA79" s="138"/>
      <x:c r="AB79" s="138"/>
      <x:c r="AC79" s="144"/>
      <x:c r="AD79" s="144"/>
      <x:c r="AE79" s="38"/>
      <x:c r="AF79" s="48" t="str">
        <x:f>IF(OR(G79="",I79="",J79&lt;&gt;""),"",IF(I79&lt;'요약'!$B$2,"만료",(YEAR(I79)-YEAR('요약'!$B$2))*12+MONTH(I79)-MONTH('요약'!$B$2)))</x:f>
      </x:c>
      <x:c r="AG79" s="48" t="str">
        <x:f>IF(G79="","",IF(AF79="만료","만료",IF(AF79=0,"이달",IF(AF79=1,"다음달",IF(AF79&lt;=3,"3개월 내","장기")))))</x:f>
      </x:c>
    </x:row>
    <x:row r="80" ht="18" customHeight="1">
      <x:c r="A80" s="41"/>
      <x:c r="B80" s="38"/>
      <x:c r="C80" s="38"/>
      <x:c r="D80" s="41"/>
      <x:c r="E80" s="41"/>
      <x:c r="F80" s="38"/>
      <x:c r="G80" s="38"/>
      <x:c r="H80" s="138"/>
      <x:c r="I80" s="138"/>
      <x:c r="J80" s="138"/>
      <x:c r="K80" s="144"/>
      <x:c r="L80" s="144"/>
      <x:c r="M80" s="38"/>
      <x:c r="N80" s="38"/>
      <x:c r="O80" s="38"/>
      <x:c r="P80" s="38"/>
      <x:c r="Q80" s="138"/>
      <x:c r="R80" s="138"/>
      <x:c r="S80" s="138"/>
      <x:c r="T80" s="144"/>
      <x:c r="U80" s="144"/>
      <x:c r="V80" s="38"/>
      <x:c r="W80" s="38"/>
      <x:c r="X80" s="38"/>
      <x:c r="Y80" s="38"/>
      <x:c r="Z80" s="138"/>
      <x:c r="AA80" s="138"/>
      <x:c r="AB80" s="138"/>
      <x:c r="AC80" s="144"/>
      <x:c r="AD80" s="144"/>
      <x:c r="AE80" s="38"/>
      <x:c r="AF80" s="48" t="str">
        <x:f>IF(OR(G80="",I80="",J80&lt;&gt;""),"",IF(I80&lt;'요약'!$B$2,"만료",(YEAR(I80)-YEAR('요약'!$B$2))*12+MONTH(I80)-MONTH('요약'!$B$2)))</x:f>
      </x:c>
      <x:c r="AG80" s="48" t="str">
        <x:f>IF(G80="","",IF(AF80="만료","만료",IF(AF80=0,"이달",IF(AF80=1,"다음달",IF(AF80&lt;=3,"3개월 내","장기")))))</x:f>
      </x:c>
    </x:row>
    <x:row r="81" ht="18" customHeight="1">
      <x:c r="A81" s="41"/>
      <x:c r="B81" s="38"/>
      <x:c r="C81" s="38"/>
      <x:c r="D81" s="41"/>
      <x:c r="E81" s="41"/>
      <x:c r="F81" s="38"/>
      <x:c r="G81" s="38"/>
      <x:c r="H81" s="138"/>
      <x:c r="I81" s="138"/>
      <x:c r="J81" s="138"/>
      <x:c r="K81" s="144"/>
      <x:c r="L81" s="144"/>
      <x:c r="M81" s="38"/>
      <x:c r="N81" s="38"/>
      <x:c r="O81" s="38"/>
      <x:c r="P81" s="38"/>
      <x:c r="Q81" s="138"/>
      <x:c r="R81" s="138"/>
      <x:c r="S81" s="138"/>
      <x:c r="T81" s="144"/>
      <x:c r="U81" s="144"/>
      <x:c r="V81" s="38"/>
      <x:c r="W81" s="38"/>
      <x:c r="X81" s="38"/>
      <x:c r="Y81" s="38"/>
      <x:c r="Z81" s="138"/>
      <x:c r="AA81" s="138"/>
      <x:c r="AB81" s="138"/>
      <x:c r="AC81" s="144"/>
      <x:c r="AD81" s="144"/>
      <x:c r="AE81" s="38"/>
      <x:c r="AF81" s="48" t="str">
        <x:f>IF(OR(G81="",I81="",J81&lt;&gt;""),"",IF(I81&lt;'요약'!$B$2,"만료",(YEAR(I81)-YEAR('요약'!$B$2))*12+MONTH(I81)-MONTH('요약'!$B$2)))</x:f>
      </x:c>
      <x:c r="AG81" s="48" t="str">
        <x:f>IF(G81="","",IF(AF81="만료","만료",IF(AF81=0,"이달",IF(AF81=1,"다음달",IF(AF81&lt;=3,"3개월 내","장기")))))</x:f>
      </x:c>
    </x:row>
    <x:row r="82" ht="18" customHeight="1">
      <x:c r="A82" s="41"/>
      <x:c r="B82" s="38"/>
      <x:c r="C82" s="38"/>
      <x:c r="D82" s="41"/>
      <x:c r="E82" s="41"/>
      <x:c r="F82" s="38"/>
      <x:c r="G82" s="38"/>
      <x:c r="H82" s="138"/>
      <x:c r="I82" s="138"/>
      <x:c r="J82" s="138"/>
      <x:c r="K82" s="144"/>
      <x:c r="L82" s="144"/>
      <x:c r="M82" s="38"/>
      <x:c r="N82" s="38"/>
      <x:c r="O82" s="38"/>
      <x:c r="P82" s="38"/>
      <x:c r="Q82" s="138"/>
      <x:c r="R82" s="138"/>
      <x:c r="S82" s="138"/>
      <x:c r="T82" s="144"/>
      <x:c r="U82" s="144"/>
      <x:c r="V82" s="38"/>
      <x:c r="W82" s="38"/>
      <x:c r="X82" s="38"/>
      <x:c r="Y82" s="38"/>
      <x:c r="Z82" s="138"/>
      <x:c r="AA82" s="138"/>
      <x:c r="AB82" s="138"/>
      <x:c r="AC82" s="144"/>
      <x:c r="AD82" s="144"/>
      <x:c r="AE82" s="38"/>
      <x:c r="AF82" s="48" t="str">
        <x:f>IF(OR(G82="",I82="",J82&lt;&gt;""),"",IF(I82&lt;'요약'!$B$2,"만료",(YEAR(I82)-YEAR('요약'!$B$2))*12+MONTH(I82)-MONTH('요약'!$B$2)))</x:f>
      </x:c>
      <x:c r="AG82" s="48" t="str">
        <x:f>IF(G82="","",IF(AF82="만료","만료",IF(AF82=0,"이달",IF(AF82=1,"다음달",IF(AF82&lt;=3,"3개월 내","장기")))))</x:f>
      </x:c>
    </x:row>
    <x:row r="83" ht="18" customHeight="1">
      <x:c r="A83" s="41"/>
      <x:c r="B83" s="38"/>
      <x:c r="C83" s="38"/>
      <x:c r="D83" s="41"/>
      <x:c r="E83" s="41"/>
      <x:c r="F83" s="38"/>
      <x:c r="G83" s="38"/>
      <x:c r="H83" s="138"/>
      <x:c r="I83" s="138"/>
      <x:c r="J83" s="138"/>
      <x:c r="K83" s="144"/>
      <x:c r="L83" s="144"/>
      <x:c r="M83" s="38"/>
      <x:c r="N83" s="38"/>
      <x:c r="O83" s="38"/>
      <x:c r="P83" s="38"/>
      <x:c r="Q83" s="138"/>
      <x:c r="R83" s="138"/>
      <x:c r="S83" s="138"/>
      <x:c r="T83" s="144"/>
      <x:c r="U83" s="144"/>
      <x:c r="V83" s="38"/>
      <x:c r="W83" s="38"/>
      <x:c r="X83" s="38"/>
      <x:c r="Y83" s="38"/>
      <x:c r="Z83" s="138"/>
      <x:c r="AA83" s="138"/>
      <x:c r="AB83" s="138"/>
      <x:c r="AC83" s="144"/>
      <x:c r="AD83" s="144"/>
      <x:c r="AE83" s="38"/>
      <x:c r="AF83" s="48" t="str">
        <x:f>IF(OR(G83="",I83="",J83&lt;&gt;""),"",IF(I83&lt;'요약'!$B$2,"만료",(YEAR(I83)-YEAR('요약'!$B$2))*12+MONTH(I83)-MONTH('요약'!$B$2)))</x:f>
      </x:c>
      <x:c r="AG83" s="48" t="str">
        <x:f>IF(G83="","",IF(AF83="만료","만료",IF(AF83=0,"이달",IF(AF83=1,"다음달",IF(AF83&lt;=3,"3개월 내","장기")))))</x:f>
      </x:c>
    </x:row>
    <x:row r="84" ht="18" customHeight="1">
      <x:c r="A84" s="41"/>
      <x:c r="B84" s="38"/>
      <x:c r="C84" s="38"/>
      <x:c r="D84" s="41"/>
      <x:c r="E84" s="41"/>
      <x:c r="F84" s="38"/>
      <x:c r="G84" s="38"/>
      <x:c r="H84" s="138"/>
      <x:c r="I84" s="138"/>
      <x:c r="J84" s="138"/>
      <x:c r="K84" s="144"/>
      <x:c r="L84" s="144"/>
      <x:c r="M84" s="38"/>
      <x:c r="N84" s="38"/>
      <x:c r="O84" s="38"/>
      <x:c r="P84" s="38"/>
      <x:c r="Q84" s="138"/>
      <x:c r="R84" s="138"/>
      <x:c r="S84" s="138"/>
      <x:c r="T84" s="144"/>
      <x:c r="U84" s="144"/>
      <x:c r="V84" s="38"/>
      <x:c r="W84" s="38"/>
      <x:c r="X84" s="38"/>
      <x:c r="Y84" s="38"/>
      <x:c r="Z84" s="138"/>
      <x:c r="AA84" s="138"/>
      <x:c r="AB84" s="138"/>
      <x:c r="AC84" s="144"/>
      <x:c r="AD84" s="144"/>
      <x:c r="AE84" s="38"/>
      <x:c r="AF84" s="48" t="str">
        <x:f>IF(OR(G84="",I84="",J84&lt;&gt;""),"",IF(I84&lt;'요약'!$B$2,"만료",(YEAR(I84)-YEAR('요약'!$B$2))*12+MONTH(I84)-MONTH('요약'!$B$2)))</x:f>
      </x:c>
      <x:c r="AG84" s="48" t="str">
        <x:f>IF(G84="","",IF(AF84="만료","만료",IF(AF84=0,"이달",IF(AF84=1,"다음달",IF(AF84&lt;=3,"3개월 내","장기")))))</x:f>
      </x:c>
    </x:row>
    <x:row r="85" ht="18" customHeight="1">
      <x:c r="A85" s="41"/>
      <x:c r="B85" s="38"/>
      <x:c r="C85" s="38"/>
      <x:c r="D85" s="41"/>
      <x:c r="E85" s="41"/>
      <x:c r="F85" s="38"/>
      <x:c r="G85" s="38"/>
      <x:c r="H85" s="138"/>
      <x:c r="I85" s="138"/>
      <x:c r="J85" s="138"/>
      <x:c r="K85" s="144"/>
      <x:c r="L85" s="144"/>
      <x:c r="M85" s="38"/>
      <x:c r="N85" s="38"/>
      <x:c r="O85" s="38"/>
      <x:c r="P85" s="38"/>
      <x:c r="Q85" s="138"/>
      <x:c r="R85" s="138"/>
      <x:c r="S85" s="138"/>
      <x:c r="T85" s="144"/>
      <x:c r="U85" s="144"/>
      <x:c r="V85" s="38"/>
      <x:c r="W85" s="38"/>
      <x:c r="X85" s="38"/>
      <x:c r="Y85" s="38"/>
      <x:c r="Z85" s="138"/>
      <x:c r="AA85" s="138"/>
      <x:c r="AB85" s="138"/>
      <x:c r="AC85" s="144"/>
      <x:c r="AD85" s="144"/>
      <x:c r="AE85" s="38"/>
      <x:c r="AF85" s="48" t="str">
        <x:f>IF(OR(G85="",I85="",J85&lt;&gt;""),"",IF(I85&lt;'요약'!$B$2,"만료",(YEAR(I85)-YEAR('요약'!$B$2))*12+MONTH(I85)-MONTH('요약'!$B$2)))</x:f>
      </x:c>
      <x:c r="AG85" s="48" t="str">
        <x:f>IF(G85="","",IF(AF85="만료","만료",IF(AF85=0,"이달",IF(AF85=1,"다음달",IF(AF85&lt;=3,"3개월 내","장기")))))</x:f>
      </x:c>
    </x:row>
    <x:row r="86" ht="18" customHeight="1">
      <x:c r="A86" s="41"/>
      <x:c r="B86" s="38"/>
      <x:c r="C86" s="38"/>
      <x:c r="D86" s="41"/>
      <x:c r="E86" s="41"/>
      <x:c r="F86" s="38"/>
      <x:c r="G86" s="38"/>
      <x:c r="H86" s="138"/>
      <x:c r="I86" s="138"/>
      <x:c r="J86" s="138"/>
      <x:c r="K86" s="144"/>
      <x:c r="L86" s="144"/>
      <x:c r="M86" s="38"/>
      <x:c r="N86" s="38"/>
      <x:c r="O86" s="38"/>
      <x:c r="P86" s="38"/>
      <x:c r="Q86" s="138"/>
      <x:c r="R86" s="138"/>
      <x:c r="S86" s="138"/>
      <x:c r="T86" s="144"/>
      <x:c r="U86" s="144"/>
      <x:c r="V86" s="38"/>
      <x:c r="W86" s="38"/>
      <x:c r="X86" s="38"/>
      <x:c r="Y86" s="38"/>
      <x:c r="Z86" s="138"/>
      <x:c r="AA86" s="138"/>
      <x:c r="AB86" s="138"/>
      <x:c r="AC86" s="144"/>
      <x:c r="AD86" s="144"/>
      <x:c r="AE86" s="38"/>
      <x:c r="AF86" s="48" t="str">
        <x:f>IF(OR(G86="",I86="",J86&lt;&gt;""),"",IF(I86&lt;'요약'!$B$2,"만료",(YEAR(I86)-YEAR('요약'!$B$2))*12+MONTH(I86)-MONTH('요약'!$B$2)))</x:f>
      </x:c>
      <x:c r="AG86" s="48" t="str">
        <x:f>IF(G86="","",IF(AF86="만료","만료",IF(AF86=0,"이달",IF(AF86=1,"다음달",IF(AF86&lt;=3,"3개월 내","장기")))))</x:f>
      </x:c>
    </x:row>
    <x:row r="87" ht="18" customHeight="1">
      <x:c r="A87" s="41"/>
      <x:c r="B87" s="38"/>
      <x:c r="C87" s="38"/>
      <x:c r="D87" s="41"/>
      <x:c r="E87" s="41"/>
      <x:c r="F87" s="38"/>
      <x:c r="G87" s="38"/>
      <x:c r="H87" s="138"/>
      <x:c r="I87" s="138"/>
      <x:c r="J87" s="138"/>
      <x:c r="K87" s="144"/>
      <x:c r="L87" s="144"/>
      <x:c r="M87" s="38"/>
      <x:c r="N87" s="38"/>
      <x:c r="O87" s="38"/>
      <x:c r="P87" s="38"/>
      <x:c r="Q87" s="138"/>
      <x:c r="R87" s="138"/>
      <x:c r="S87" s="138"/>
      <x:c r="T87" s="144"/>
      <x:c r="U87" s="144"/>
      <x:c r="V87" s="38"/>
      <x:c r="W87" s="38"/>
      <x:c r="X87" s="38"/>
      <x:c r="Y87" s="38"/>
      <x:c r="Z87" s="138"/>
      <x:c r="AA87" s="138"/>
      <x:c r="AB87" s="138"/>
      <x:c r="AC87" s="144"/>
      <x:c r="AD87" s="144"/>
      <x:c r="AE87" s="38"/>
      <x:c r="AF87" s="48" t="str">
        <x:f>IF(OR(G87="",I87="",J87&lt;&gt;""),"",IF(I87&lt;'요약'!$B$2,"만료",(YEAR(I87)-YEAR('요약'!$B$2))*12+MONTH(I87)-MONTH('요약'!$B$2)))</x:f>
      </x:c>
      <x:c r="AG87" s="48" t="str">
        <x:f>IF(G87="","",IF(AF87="만료","만료",IF(AF87=0,"이달",IF(AF87=1,"다음달",IF(AF87&lt;=3,"3개월 내","장기")))))</x:f>
      </x:c>
    </x:row>
    <x:row r="88" ht="18" customHeight="1">
      <x:c r="A88" s="41"/>
      <x:c r="B88" s="38"/>
      <x:c r="C88" s="38"/>
      <x:c r="D88" s="41"/>
      <x:c r="E88" s="41"/>
      <x:c r="F88" s="38"/>
      <x:c r="G88" s="38"/>
      <x:c r="H88" s="138"/>
      <x:c r="I88" s="138"/>
      <x:c r="J88" s="138"/>
      <x:c r="K88" s="144"/>
      <x:c r="L88" s="144"/>
      <x:c r="M88" s="38"/>
      <x:c r="N88" s="38"/>
      <x:c r="O88" s="38"/>
      <x:c r="P88" s="38"/>
      <x:c r="Q88" s="138"/>
      <x:c r="R88" s="138"/>
      <x:c r="S88" s="138"/>
      <x:c r="T88" s="144"/>
      <x:c r="U88" s="144"/>
      <x:c r="V88" s="38"/>
      <x:c r="W88" s="38"/>
      <x:c r="X88" s="38"/>
      <x:c r="Y88" s="38"/>
      <x:c r="Z88" s="138"/>
      <x:c r="AA88" s="138"/>
      <x:c r="AB88" s="138"/>
      <x:c r="AC88" s="144"/>
      <x:c r="AD88" s="144"/>
      <x:c r="AE88" s="38"/>
      <x:c r="AF88" s="48" t="str">
        <x:f>IF(OR(G88="",I88="",J88&lt;&gt;""),"",IF(I88&lt;'요약'!$B$2,"만료",(YEAR(I88)-YEAR('요약'!$B$2))*12+MONTH(I88)-MONTH('요약'!$B$2)))</x:f>
      </x:c>
      <x:c r="AG88" s="48" t="str">
        <x:f>IF(G88="","",IF(AF88="만료","만료",IF(AF88=0,"이달",IF(AF88=1,"다음달",IF(AF88&lt;=3,"3개월 내","장기")))))</x:f>
      </x:c>
    </x:row>
    <x:row r="89" ht="18" customHeight="1">
      <x:c r="A89" s="41"/>
      <x:c r="B89" s="38"/>
      <x:c r="C89" s="38"/>
      <x:c r="D89" s="41"/>
      <x:c r="E89" s="41"/>
      <x:c r="F89" s="38"/>
      <x:c r="G89" s="38"/>
      <x:c r="H89" s="138"/>
      <x:c r="I89" s="138"/>
      <x:c r="J89" s="138"/>
      <x:c r="K89" s="144"/>
      <x:c r="L89" s="144"/>
      <x:c r="M89" s="38"/>
      <x:c r="N89" s="38"/>
      <x:c r="O89" s="38"/>
      <x:c r="P89" s="38"/>
      <x:c r="Q89" s="138"/>
      <x:c r="R89" s="138"/>
      <x:c r="S89" s="138"/>
      <x:c r="T89" s="144"/>
      <x:c r="U89" s="144"/>
      <x:c r="V89" s="38"/>
      <x:c r="W89" s="38"/>
      <x:c r="X89" s="38"/>
      <x:c r="Y89" s="38"/>
      <x:c r="Z89" s="138"/>
      <x:c r="AA89" s="138"/>
      <x:c r="AB89" s="138"/>
      <x:c r="AC89" s="144"/>
      <x:c r="AD89" s="144"/>
      <x:c r="AE89" s="38"/>
      <x:c r="AF89" s="48" t="str">
        <x:f>IF(OR(G89="",I89="",J89&lt;&gt;""),"",IF(I89&lt;'요약'!$B$2,"만료",(YEAR(I89)-YEAR('요약'!$B$2))*12+MONTH(I89)-MONTH('요약'!$B$2)))</x:f>
      </x:c>
      <x:c r="AG89" s="48" t="str">
        <x:f>IF(G89="","",IF(AF89="만료","만료",IF(AF89=0,"이달",IF(AF89=1,"다음달",IF(AF89&lt;=3,"3개월 내","장기")))))</x:f>
      </x:c>
    </x:row>
    <x:row r="90" ht="18" customHeight="1">
      <x:c r="A90" s="41"/>
      <x:c r="B90" s="38"/>
      <x:c r="C90" s="38"/>
      <x:c r="D90" s="41"/>
      <x:c r="E90" s="41"/>
      <x:c r="F90" s="38"/>
      <x:c r="G90" s="38"/>
      <x:c r="H90" s="138"/>
      <x:c r="I90" s="138"/>
      <x:c r="J90" s="138"/>
      <x:c r="K90" s="144"/>
      <x:c r="L90" s="144"/>
      <x:c r="M90" s="38"/>
      <x:c r="N90" s="38"/>
      <x:c r="O90" s="38"/>
      <x:c r="P90" s="38"/>
      <x:c r="Q90" s="138"/>
      <x:c r="R90" s="138"/>
      <x:c r="S90" s="138"/>
      <x:c r="T90" s="144"/>
      <x:c r="U90" s="144"/>
      <x:c r="V90" s="38"/>
      <x:c r="W90" s="38"/>
      <x:c r="X90" s="38"/>
      <x:c r="Y90" s="38"/>
      <x:c r="Z90" s="138"/>
      <x:c r="AA90" s="138"/>
      <x:c r="AB90" s="138"/>
      <x:c r="AC90" s="144"/>
      <x:c r="AD90" s="144"/>
      <x:c r="AE90" s="38"/>
      <x:c r="AF90" s="48" t="str">
        <x:f>IF(OR(G90="",I90="",J90&lt;&gt;""),"",IF(I90&lt;'요약'!$B$2,"만료",(YEAR(I90)-YEAR('요약'!$B$2))*12+MONTH(I90)-MONTH('요약'!$B$2)))</x:f>
      </x:c>
      <x:c r="AG90" s="48" t="str">
        <x:f>IF(G90="","",IF(AF90="만료","만료",IF(AF90=0,"이달",IF(AF90=1,"다음달",IF(AF90&lt;=3,"3개월 내","장기")))))</x:f>
      </x:c>
    </x:row>
    <x:row r="91" ht="18" customHeight="1">
      <x:c r="A91" s="41"/>
      <x:c r="B91" s="38"/>
      <x:c r="C91" s="38"/>
      <x:c r="D91" s="41"/>
      <x:c r="E91" s="41"/>
      <x:c r="F91" s="38"/>
      <x:c r="G91" s="38"/>
      <x:c r="H91" s="138"/>
      <x:c r="I91" s="138"/>
      <x:c r="J91" s="138"/>
      <x:c r="K91" s="144"/>
      <x:c r="L91" s="144"/>
      <x:c r="M91" s="38"/>
      <x:c r="N91" s="38"/>
      <x:c r="O91" s="38"/>
      <x:c r="P91" s="38"/>
      <x:c r="Q91" s="138"/>
      <x:c r="R91" s="138"/>
      <x:c r="S91" s="138"/>
      <x:c r="T91" s="144"/>
      <x:c r="U91" s="144"/>
      <x:c r="V91" s="38"/>
      <x:c r="W91" s="38"/>
      <x:c r="X91" s="38"/>
      <x:c r="Y91" s="38"/>
      <x:c r="Z91" s="138"/>
      <x:c r="AA91" s="138"/>
      <x:c r="AB91" s="138"/>
      <x:c r="AC91" s="144"/>
      <x:c r="AD91" s="144"/>
      <x:c r="AE91" s="38"/>
      <x:c r="AF91" s="48" t="str">
        <x:f>IF(OR(G91="",I91="",J91&lt;&gt;""),"",IF(I91&lt;'요약'!$B$2,"만료",(YEAR(I91)-YEAR('요약'!$B$2))*12+MONTH(I91)-MONTH('요약'!$B$2)))</x:f>
      </x:c>
      <x:c r="AG91" s="48" t="str">
        <x:f>IF(G91="","",IF(AF91="만료","만료",IF(AF91=0,"이달",IF(AF91=1,"다음달",IF(AF91&lt;=3,"3개월 내","장기")))))</x:f>
      </x:c>
    </x:row>
    <x:row r="92" ht="18" customHeight="1">
      <x:c r="A92" s="41"/>
      <x:c r="B92" s="38"/>
      <x:c r="C92" s="38"/>
      <x:c r="D92" s="41"/>
      <x:c r="E92" s="41"/>
      <x:c r="F92" s="38"/>
      <x:c r="G92" s="38"/>
      <x:c r="H92" s="138"/>
      <x:c r="I92" s="138"/>
      <x:c r="J92" s="138"/>
      <x:c r="K92" s="144"/>
      <x:c r="L92" s="144"/>
      <x:c r="M92" s="38"/>
      <x:c r="N92" s="38"/>
      <x:c r="O92" s="38"/>
      <x:c r="P92" s="38"/>
      <x:c r="Q92" s="138"/>
      <x:c r="R92" s="138"/>
      <x:c r="S92" s="138"/>
      <x:c r="T92" s="144"/>
      <x:c r="U92" s="144"/>
      <x:c r="V92" s="38"/>
      <x:c r="W92" s="38"/>
      <x:c r="X92" s="38"/>
      <x:c r="Y92" s="38"/>
      <x:c r="Z92" s="138"/>
      <x:c r="AA92" s="138"/>
      <x:c r="AB92" s="138"/>
      <x:c r="AC92" s="144"/>
      <x:c r="AD92" s="144"/>
      <x:c r="AE92" s="38"/>
      <x:c r="AF92" s="48" t="str">
        <x:f>IF(OR(G92="",I92="",J92&lt;&gt;""),"",IF(I92&lt;'요약'!$B$2,"만료",(YEAR(I92)-YEAR('요약'!$B$2))*12+MONTH(I92)-MONTH('요약'!$B$2)))</x:f>
      </x:c>
      <x:c r="AG92" s="48" t="str">
        <x:f>IF(G92="","",IF(AF92="만료","만료",IF(AF92=0,"이달",IF(AF92=1,"다음달",IF(AF92&lt;=3,"3개월 내","장기")))))</x:f>
      </x:c>
    </x:row>
    <x:row r="93" ht="18" customHeight="1">
      <x:c r="A93" s="41"/>
      <x:c r="B93" s="38"/>
      <x:c r="C93" s="38"/>
      <x:c r="D93" s="41"/>
      <x:c r="E93" s="41"/>
      <x:c r="F93" s="38"/>
      <x:c r="G93" s="38"/>
      <x:c r="H93" s="138"/>
      <x:c r="I93" s="138"/>
      <x:c r="J93" s="138"/>
      <x:c r="K93" s="144"/>
      <x:c r="L93" s="144"/>
      <x:c r="M93" s="38"/>
      <x:c r="N93" s="38"/>
      <x:c r="O93" s="38"/>
      <x:c r="P93" s="38"/>
      <x:c r="Q93" s="138"/>
      <x:c r="R93" s="138"/>
      <x:c r="S93" s="138"/>
      <x:c r="T93" s="144"/>
      <x:c r="U93" s="144"/>
      <x:c r="V93" s="38"/>
      <x:c r="W93" s="38"/>
      <x:c r="X93" s="38"/>
      <x:c r="Y93" s="38"/>
      <x:c r="Z93" s="138"/>
      <x:c r="AA93" s="138"/>
      <x:c r="AB93" s="138"/>
      <x:c r="AC93" s="144"/>
      <x:c r="AD93" s="144"/>
      <x:c r="AE93" s="38"/>
      <x:c r="AF93" s="48" t="str">
        <x:f>IF(OR(G93="",I93="",J93&lt;&gt;""),"",IF(I93&lt;'요약'!$B$2,"만료",(YEAR(I93)-YEAR('요약'!$B$2))*12+MONTH(I93)-MONTH('요약'!$B$2)))</x:f>
      </x:c>
      <x:c r="AG93" s="48" t="str">
        <x:f>IF(G93="","",IF(AF93="만료","만료",IF(AF93=0,"이달",IF(AF93=1,"다음달",IF(AF93&lt;=3,"3개월 내","장기")))))</x:f>
      </x:c>
    </x:row>
    <x:row r="94" ht="18" customHeight="1">
      <x:c r="A94" s="41"/>
      <x:c r="B94" s="38"/>
      <x:c r="C94" s="38"/>
      <x:c r="D94" s="41"/>
      <x:c r="E94" s="41"/>
      <x:c r="F94" s="38"/>
      <x:c r="G94" s="38"/>
      <x:c r="H94" s="138"/>
      <x:c r="I94" s="138"/>
      <x:c r="J94" s="138"/>
      <x:c r="K94" s="144"/>
      <x:c r="L94" s="144"/>
      <x:c r="M94" s="38"/>
      <x:c r="N94" s="38"/>
      <x:c r="O94" s="38"/>
      <x:c r="P94" s="38"/>
      <x:c r="Q94" s="138"/>
      <x:c r="R94" s="138"/>
      <x:c r="S94" s="138"/>
      <x:c r="T94" s="144"/>
      <x:c r="U94" s="144"/>
      <x:c r="V94" s="38"/>
      <x:c r="W94" s="38"/>
      <x:c r="X94" s="38"/>
      <x:c r="Y94" s="38"/>
      <x:c r="Z94" s="138"/>
      <x:c r="AA94" s="138"/>
      <x:c r="AB94" s="138"/>
      <x:c r="AC94" s="144"/>
      <x:c r="AD94" s="144"/>
      <x:c r="AE94" s="38"/>
      <x:c r="AF94" s="48" t="str">
        <x:f>IF(OR(G94="",I94="",J94&lt;&gt;""),"",IF(I94&lt;'요약'!$B$2,"만료",(YEAR(I94)-YEAR('요약'!$B$2))*12+MONTH(I94)-MONTH('요약'!$B$2)))</x:f>
      </x:c>
      <x:c r="AG94" s="48" t="str">
        <x:f>IF(G94="","",IF(AF94="만료","만료",IF(AF94=0,"이달",IF(AF94=1,"다음달",IF(AF94&lt;=3,"3개월 내","장기")))))</x:f>
      </x:c>
    </x:row>
    <x:row r="95" ht="18" customHeight="1">
      <x:c r="A95" s="41"/>
      <x:c r="B95" s="38"/>
      <x:c r="C95" s="38"/>
      <x:c r="D95" s="41"/>
      <x:c r="E95" s="41"/>
      <x:c r="F95" s="38"/>
      <x:c r="G95" s="38"/>
      <x:c r="H95" s="138"/>
      <x:c r="I95" s="138"/>
      <x:c r="J95" s="138"/>
      <x:c r="K95" s="144"/>
      <x:c r="L95" s="144"/>
      <x:c r="M95" s="38"/>
      <x:c r="N95" s="38"/>
      <x:c r="O95" s="38"/>
      <x:c r="P95" s="38"/>
      <x:c r="Q95" s="138"/>
      <x:c r="R95" s="138"/>
      <x:c r="S95" s="138"/>
      <x:c r="T95" s="144"/>
      <x:c r="U95" s="144"/>
      <x:c r="V95" s="38"/>
      <x:c r="W95" s="38"/>
      <x:c r="X95" s="38"/>
      <x:c r="Y95" s="38"/>
      <x:c r="Z95" s="138"/>
      <x:c r="AA95" s="138"/>
      <x:c r="AB95" s="138"/>
      <x:c r="AC95" s="144"/>
      <x:c r="AD95" s="144"/>
      <x:c r="AE95" s="38"/>
      <x:c r="AF95" s="48" t="str">
        <x:f>IF(OR(G95="",I95="",J95&lt;&gt;""),"",IF(I95&lt;'요약'!$B$2,"만료",(YEAR(I95)-YEAR('요약'!$B$2))*12+MONTH(I95)-MONTH('요약'!$B$2)))</x:f>
      </x:c>
      <x:c r="AG95" s="48" t="str">
        <x:f>IF(G95="","",IF(AF95="만료","만료",IF(AF95=0,"이달",IF(AF95=1,"다음달",IF(AF95&lt;=3,"3개월 내","장기")))))</x:f>
      </x:c>
    </x:row>
    <x:row r="96" ht="18" customHeight="1">
      <x:c r="A96" s="41"/>
      <x:c r="B96" s="38"/>
      <x:c r="C96" s="38"/>
      <x:c r="D96" s="41"/>
      <x:c r="E96" s="41"/>
      <x:c r="F96" s="38"/>
      <x:c r="G96" s="38"/>
      <x:c r="H96" s="138"/>
      <x:c r="I96" s="138"/>
      <x:c r="J96" s="138"/>
      <x:c r="K96" s="144"/>
      <x:c r="L96" s="144"/>
      <x:c r="M96" s="38"/>
      <x:c r="N96" s="38"/>
      <x:c r="O96" s="38"/>
      <x:c r="P96" s="38"/>
      <x:c r="Q96" s="138"/>
      <x:c r="R96" s="138"/>
      <x:c r="S96" s="138"/>
      <x:c r="T96" s="144"/>
      <x:c r="U96" s="144"/>
      <x:c r="V96" s="38"/>
      <x:c r="W96" s="38"/>
      <x:c r="X96" s="38"/>
      <x:c r="Y96" s="38"/>
      <x:c r="Z96" s="138"/>
      <x:c r="AA96" s="138"/>
      <x:c r="AB96" s="138"/>
      <x:c r="AC96" s="144"/>
      <x:c r="AD96" s="144"/>
      <x:c r="AE96" s="38"/>
      <x:c r="AF96" s="48" t="str">
        <x:f>IF(OR(G96="",I96="",J96&lt;&gt;""),"",IF(I96&lt;'요약'!$B$2,"만료",(YEAR(I96)-YEAR('요약'!$B$2))*12+MONTH(I96)-MONTH('요약'!$B$2)))</x:f>
      </x:c>
      <x:c r="AG96" s="48" t="str">
        <x:f>IF(G96="","",IF(AF96="만료","만료",IF(AF96=0,"이달",IF(AF96=1,"다음달",IF(AF96&lt;=3,"3개월 내","장기")))))</x:f>
      </x:c>
    </x:row>
    <x:row r="97" ht="18" customHeight="1">
      <x:c r="A97" s="41"/>
      <x:c r="B97" s="38"/>
      <x:c r="C97" s="38"/>
      <x:c r="D97" s="41"/>
      <x:c r="E97" s="41"/>
      <x:c r="F97" s="38"/>
      <x:c r="G97" s="38"/>
      <x:c r="H97" s="138"/>
      <x:c r="I97" s="138"/>
      <x:c r="J97" s="138"/>
      <x:c r="K97" s="144"/>
      <x:c r="L97" s="144"/>
      <x:c r="M97" s="38"/>
      <x:c r="N97" s="38"/>
      <x:c r="O97" s="38"/>
      <x:c r="P97" s="38"/>
      <x:c r="Q97" s="138"/>
      <x:c r="R97" s="138"/>
      <x:c r="S97" s="138"/>
      <x:c r="T97" s="144"/>
      <x:c r="U97" s="144"/>
      <x:c r="V97" s="38"/>
      <x:c r="W97" s="38"/>
      <x:c r="X97" s="38"/>
      <x:c r="Y97" s="38"/>
      <x:c r="Z97" s="138"/>
      <x:c r="AA97" s="138"/>
      <x:c r="AB97" s="138"/>
      <x:c r="AC97" s="144"/>
      <x:c r="AD97" s="144"/>
      <x:c r="AE97" s="38"/>
      <x:c r="AF97" s="48" t="str">
        <x:f>IF(OR(G97="",I97="",J97&lt;&gt;""),"",IF(I97&lt;'요약'!$B$2,"만료",(YEAR(I97)-YEAR('요약'!$B$2))*12+MONTH(I97)-MONTH('요약'!$B$2)))</x:f>
      </x:c>
      <x:c r="AG97" s="48" t="str">
        <x:f>IF(G97="","",IF(AF97="만료","만료",IF(AF97=0,"이달",IF(AF97=1,"다음달",IF(AF97&lt;=3,"3개월 내","장기")))))</x:f>
      </x:c>
    </x:row>
    <x:row r="98" ht="18" customHeight="1">
      <x:c r="A98" s="41"/>
      <x:c r="B98" s="38"/>
      <x:c r="C98" s="38"/>
      <x:c r="D98" s="41"/>
      <x:c r="E98" s="41"/>
      <x:c r="F98" s="38"/>
      <x:c r="G98" s="38"/>
      <x:c r="H98" s="138"/>
      <x:c r="I98" s="138"/>
      <x:c r="J98" s="138"/>
      <x:c r="K98" s="144"/>
      <x:c r="L98" s="144"/>
      <x:c r="M98" s="38"/>
      <x:c r="N98" s="38"/>
      <x:c r="O98" s="38"/>
      <x:c r="P98" s="38"/>
      <x:c r="Q98" s="138"/>
      <x:c r="R98" s="138"/>
      <x:c r="S98" s="138"/>
      <x:c r="T98" s="144"/>
      <x:c r="U98" s="144"/>
      <x:c r="V98" s="38"/>
      <x:c r="W98" s="38"/>
      <x:c r="X98" s="38"/>
      <x:c r="Y98" s="38"/>
      <x:c r="Z98" s="138"/>
      <x:c r="AA98" s="138"/>
      <x:c r="AB98" s="138"/>
      <x:c r="AC98" s="144"/>
      <x:c r="AD98" s="144"/>
      <x:c r="AE98" s="38"/>
      <x:c r="AF98" s="48" t="str">
        <x:f>IF(OR(G98="",I98="",J98&lt;&gt;""),"",IF(I98&lt;'요약'!$B$2,"만료",(YEAR(I98)-YEAR('요약'!$B$2))*12+MONTH(I98)-MONTH('요약'!$B$2)))</x:f>
      </x:c>
      <x:c r="AG98" s="48" t="str">
        <x:f>IF(G98="","",IF(AF98="만료","만료",IF(AF98=0,"이달",IF(AF98=1,"다음달",IF(AF98&lt;=3,"3개월 내","장기")))))</x:f>
      </x:c>
    </x:row>
    <x:row r="99" ht="18" customHeight="1">
      <x:c r="A99" s="41"/>
      <x:c r="B99" s="38"/>
      <x:c r="C99" s="38"/>
      <x:c r="D99" s="41"/>
      <x:c r="E99" s="41"/>
      <x:c r="F99" s="38"/>
      <x:c r="G99" s="38"/>
      <x:c r="H99" s="138"/>
      <x:c r="I99" s="138"/>
      <x:c r="J99" s="138"/>
      <x:c r="K99" s="144"/>
      <x:c r="L99" s="144"/>
      <x:c r="M99" s="38"/>
      <x:c r="N99" s="38"/>
      <x:c r="O99" s="38"/>
      <x:c r="P99" s="38"/>
      <x:c r="Q99" s="138"/>
      <x:c r="R99" s="138"/>
      <x:c r="S99" s="138"/>
      <x:c r="T99" s="144"/>
      <x:c r="U99" s="144"/>
      <x:c r="V99" s="38"/>
      <x:c r="W99" s="38"/>
      <x:c r="X99" s="38"/>
      <x:c r="Y99" s="38"/>
      <x:c r="Z99" s="138"/>
      <x:c r="AA99" s="138"/>
      <x:c r="AB99" s="138"/>
      <x:c r="AC99" s="144"/>
      <x:c r="AD99" s="144"/>
      <x:c r="AE99" s="38"/>
      <x:c r="AF99" s="48" t="str">
        <x:f>IF(OR(G99="",I99="",J99&lt;&gt;""),"",IF(I99&lt;'요약'!$B$2,"만료",(YEAR(I99)-YEAR('요약'!$B$2))*12+MONTH(I99)-MONTH('요약'!$B$2)))</x:f>
      </x:c>
      <x:c r="AG99" s="48" t="str">
        <x:f>IF(G99="","",IF(AF99="만료","만료",IF(AF99=0,"이달",IF(AF99=1,"다음달",IF(AF99&lt;=3,"3개월 내","장기")))))</x:f>
      </x:c>
    </x:row>
    <x:row r="100" ht="18" customHeight="1">
      <x:c r="A100" s="41"/>
      <x:c r="B100" s="38"/>
      <x:c r="C100" s="38"/>
      <x:c r="D100" s="41"/>
      <x:c r="E100" s="41"/>
      <x:c r="F100" s="38"/>
      <x:c r="G100" s="38"/>
      <x:c r="H100" s="138"/>
      <x:c r="I100" s="138"/>
      <x:c r="J100" s="138"/>
      <x:c r="K100" s="144"/>
      <x:c r="L100" s="144"/>
      <x:c r="M100" s="38"/>
      <x:c r="N100" s="38"/>
      <x:c r="O100" s="38"/>
      <x:c r="P100" s="38"/>
      <x:c r="Q100" s="138"/>
      <x:c r="R100" s="138"/>
      <x:c r="S100" s="138"/>
      <x:c r="T100" s="144"/>
      <x:c r="U100" s="144"/>
      <x:c r="V100" s="38"/>
      <x:c r="W100" s="38"/>
      <x:c r="X100" s="38"/>
      <x:c r="Y100" s="38"/>
      <x:c r="Z100" s="138"/>
      <x:c r="AA100" s="138"/>
      <x:c r="AB100" s="138"/>
      <x:c r="AC100" s="144"/>
      <x:c r="AD100" s="144"/>
      <x:c r="AE100" s="38"/>
      <x:c r="AF100" s="48" t="str">
        <x:f>IF(OR(G100="",I100="",J100&lt;&gt;""),"",IF(I100&lt;'요약'!$B$2,"만료",(YEAR(I100)-YEAR('요약'!$B$2))*12+MONTH(I100)-MONTH('요약'!$B$2)))</x:f>
      </x:c>
      <x:c r="AG100" s="48" t="str">
        <x:f>IF(G100="","",IF(AF100="만료","만료",IF(AF100=0,"이달",IF(AF100=1,"다음달",IF(AF100&lt;=3,"3개월 내","장기")))))</x:f>
      </x:c>
    </x:row>
    <x:row r="101" ht="18" customHeight="1">
      <x:c r="A101" s="41"/>
      <x:c r="B101" s="38"/>
      <x:c r="C101" s="38"/>
      <x:c r="D101" s="41"/>
      <x:c r="E101" s="41"/>
      <x:c r="F101" s="38"/>
      <x:c r="G101" s="38"/>
      <x:c r="H101" s="138"/>
      <x:c r="I101" s="138"/>
      <x:c r="J101" s="138"/>
      <x:c r="K101" s="144"/>
      <x:c r="L101" s="144"/>
      <x:c r="M101" s="38"/>
      <x:c r="N101" s="38"/>
      <x:c r="O101" s="38"/>
      <x:c r="P101" s="38"/>
      <x:c r="Q101" s="138"/>
      <x:c r="R101" s="138"/>
      <x:c r="S101" s="138"/>
      <x:c r="T101" s="144"/>
      <x:c r="U101" s="144"/>
      <x:c r="V101" s="38"/>
      <x:c r="W101" s="38"/>
      <x:c r="X101" s="38"/>
      <x:c r="Y101" s="38"/>
      <x:c r="Z101" s="138"/>
      <x:c r="AA101" s="138"/>
      <x:c r="AB101" s="138"/>
      <x:c r="AC101" s="144"/>
      <x:c r="AD101" s="144"/>
      <x:c r="AE101" s="38"/>
      <x:c r="AF101" s="48" t="str">
        <x:f>IF(OR(G101="",I101="",J101&lt;&gt;""),"",IF(I101&lt;'요약'!$B$2,"만료",(YEAR(I101)-YEAR('요약'!$B$2))*12+MONTH(I101)-MONTH('요약'!$B$2)))</x:f>
      </x:c>
      <x:c r="AG101" s="48" t="str">
        <x:f>IF(G101="","",IF(AF101="만료","만료",IF(AF101=0,"이달",IF(AF101=1,"다음달",IF(AF101&lt;=3,"3개월 내","장기")))))</x:f>
      </x:c>
    </x:row>
    <x:row r="102" ht="18" customHeight="1">
      <x:c r="A102" s="41"/>
      <x:c r="B102" s="38"/>
      <x:c r="C102" s="38"/>
      <x:c r="D102" s="41"/>
      <x:c r="E102" s="41"/>
      <x:c r="F102" s="38"/>
      <x:c r="G102" s="38"/>
      <x:c r="H102" s="138"/>
      <x:c r="I102" s="138"/>
      <x:c r="J102" s="138"/>
      <x:c r="K102" s="144"/>
      <x:c r="L102" s="144"/>
      <x:c r="M102" s="38"/>
      <x:c r="N102" s="38"/>
      <x:c r="O102" s="38"/>
      <x:c r="P102" s="38"/>
      <x:c r="Q102" s="138"/>
      <x:c r="R102" s="138"/>
      <x:c r="S102" s="138"/>
      <x:c r="T102" s="144"/>
      <x:c r="U102" s="144"/>
      <x:c r="V102" s="38"/>
      <x:c r="W102" s="38"/>
      <x:c r="X102" s="38"/>
      <x:c r="Y102" s="38"/>
      <x:c r="Z102" s="138"/>
      <x:c r="AA102" s="138"/>
      <x:c r="AB102" s="138"/>
      <x:c r="AC102" s="144"/>
      <x:c r="AD102" s="144"/>
      <x:c r="AE102" s="38"/>
      <x:c r="AF102" s="48" t="str">
        <x:f>IF(OR(G102="",I102="",J102&lt;&gt;""),"",IF(I102&lt;'요약'!$B$2,"만료",(YEAR(I102)-YEAR('요약'!$B$2))*12+MONTH(I102)-MONTH('요약'!$B$2)))</x:f>
      </x:c>
      <x:c r="AG102" s="48" t="str">
        <x:f>IF(G102="","",IF(AF102="만료","만료",IF(AF102=0,"이달",IF(AF102=1,"다음달",IF(AF102&lt;=3,"3개월 내","장기")))))</x:f>
      </x:c>
    </x:row>
    <x:row r="103" ht="18" customHeight="1">
      <x:c r="A103" s="41"/>
      <x:c r="B103" s="38"/>
      <x:c r="C103" s="38"/>
      <x:c r="D103" s="41"/>
      <x:c r="E103" s="41"/>
      <x:c r="F103" s="38"/>
      <x:c r="G103" s="38"/>
      <x:c r="H103" s="138"/>
      <x:c r="I103" s="138"/>
      <x:c r="J103" s="138"/>
      <x:c r="K103" s="144"/>
      <x:c r="L103" s="144"/>
      <x:c r="M103" s="38"/>
      <x:c r="N103" s="38"/>
      <x:c r="O103" s="38"/>
      <x:c r="P103" s="38"/>
      <x:c r="Q103" s="138"/>
      <x:c r="R103" s="138"/>
      <x:c r="S103" s="138"/>
      <x:c r="T103" s="144"/>
      <x:c r="U103" s="144"/>
      <x:c r="V103" s="38"/>
      <x:c r="W103" s="38"/>
      <x:c r="X103" s="38"/>
      <x:c r="Y103" s="38"/>
      <x:c r="Z103" s="138"/>
      <x:c r="AA103" s="138"/>
      <x:c r="AB103" s="138"/>
      <x:c r="AC103" s="144"/>
      <x:c r="AD103" s="144"/>
      <x:c r="AE103" s="38"/>
      <x:c r="AF103" s="48" t="str">
        <x:f>IF(OR(G103="",I103="",J103&lt;&gt;""),"",IF(I103&lt;'요약'!$B$2,"만료",(YEAR(I103)-YEAR('요약'!$B$2))*12+MONTH(I103)-MONTH('요약'!$B$2)))</x:f>
      </x:c>
      <x:c r="AG103" s="48" t="str">
        <x:f>IF(G103="","",IF(AF103="만료","만료",IF(AF103=0,"이달",IF(AF103=1,"다음달",IF(AF103&lt;=3,"3개월 내","장기")))))</x:f>
      </x:c>
    </x:row>
    <x:row r="104" ht="18" customHeight="1">
      <x:c r="A104" s="41"/>
      <x:c r="B104" s="38"/>
      <x:c r="C104" s="38"/>
      <x:c r="D104" s="41"/>
      <x:c r="E104" s="41"/>
      <x:c r="F104" s="38"/>
      <x:c r="G104" s="38"/>
      <x:c r="H104" s="138"/>
      <x:c r="I104" s="138"/>
      <x:c r="J104" s="138"/>
      <x:c r="K104" s="144"/>
      <x:c r="L104" s="144"/>
      <x:c r="M104" s="38"/>
      <x:c r="N104" s="38"/>
      <x:c r="O104" s="38"/>
      <x:c r="P104" s="38"/>
      <x:c r="Q104" s="138"/>
      <x:c r="R104" s="138"/>
      <x:c r="S104" s="138"/>
      <x:c r="T104" s="144"/>
      <x:c r="U104" s="144"/>
      <x:c r="V104" s="38"/>
      <x:c r="W104" s="38"/>
      <x:c r="X104" s="38"/>
      <x:c r="Y104" s="38"/>
      <x:c r="Z104" s="138"/>
      <x:c r="AA104" s="138"/>
      <x:c r="AB104" s="138"/>
      <x:c r="AC104" s="144"/>
      <x:c r="AD104" s="144"/>
      <x:c r="AE104" s="38"/>
      <x:c r="AF104" s="48" t="str">
        <x:f>IF(OR(G104="",I104="",J104&lt;&gt;""),"",IF(I104&lt;'요약'!$B$2,"만료",(YEAR(I104)-YEAR('요약'!$B$2))*12+MONTH(I104)-MONTH('요약'!$B$2)))</x:f>
      </x:c>
      <x:c r="AG104" s="48" t="str">
        <x:f>IF(G104="","",IF(AF104="만료","만료",IF(AF104=0,"이달",IF(AF104=1,"다음달",IF(AF104&lt;=3,"3개월 내","장기")))))</x:f>
      </x:c>
    </x:row>
    <x:row r="105" ht="18" customHeight="1">
      <x:c r="A105" s="41"/>
      <x:c r="B105" s="38"/>
      <x:c r="C105" s="38"/>
      <x:c r="D105" s="41"/>
      <x:c r="E105" s="41"/>
      <x:c r="F105" s="38"/>
      <x:c r="G105" s="38"/>
      <x:c r="H105" s="138"/>
      <x:c r="I105" s="138"/>
      <x:c r="J105" s="138"/>
      <x:c r="K105" s="144"/>
      <x:c r="L105" s="144"/>
      <x:c r="M105" s="38"/>
      <x:c r="N105" s="38"/>
      <x:c r="O105" s="38"/>
      <x:c r="P105" s="38"/>
      <x:c r="Q105" s="138"/>
      <x:c r="R105" s="138"/>
      <x:c r="S105" s="138"/>
      <x:c r="T105" s="144"/>
      <x:c r="U105" s="144"/>
      <x:c r="V105" s="38"/>
      <x:c r="W105" s="38"/>
      <x:c r="X105" s="38"/>
      <x:c r="Y105" s="38"/>
      <x:c r="Z105" s="138"/>
      <x:c r="AA105" s="138"/>
      <x:c r="AB105" s="138"/>
      <x:c r="AC105" s="144"/>
      <x:c r="AD105" s="144"/>
      <x:c r="AE105" s="38"/>
      <x:c r="AF105" s="48" t="str">
        <x:f>IF(OR(G105="",I105="",J105&lt;&gt;""),"",IF(I105&lt;'요약'!$B$2,"만료",(YEAR(I105)-YEAR('요약'!$B$2))*12+MONTH(I105)-MONTH('요약'!$B$2)))</x:f>
      </x:c>
      <x:c r="AG105" s="48" t="str">
        <x:f>IF(G105="","",IF(AF105="만료","만료",IF(AF105=0,"이달",IF(AF105=1,"다음달",IF(AF105&lt;=3,"3개월 내","장기")))))</x:f>
      </x:c>
    </x:row>
    <x:row r="106" ht="18" customHeight="1">
      <x:c r="A106" s="41"/>
      <x:c r="B106" s="38"/>
      <x:c r="C106" s="38"/>
      <x:c r="D106" s="41"/>
      <x:c r="E106" s="41"/>
      <x:c r="F106" s="38"/>
      <x:c r="G106" s="38"/>
      <x:c r="H106" s="138"/>
      <x:c r="I106" s="138"/>
      <x:c r="J106" s="138"/>
      <x:c r="K106" s="144"/>
      <x:c r="L106" s="144"/>
      <x:c r="M106" s="38"/>
      <x:c r="N106" s="38"/>
      <x:c r="O106" s="38"/>
      <x:c r="P106" s="38"/>
      <x:c r="Q106" s="138"/>
      <x:c r="R106" s="138"/>
      <x:c r="S106" s="138"/>
      <x:c r="T106" s="144"/>
      <x:c r="U106" s="144"/>
      <x:c r="V106" s="38"/>
      <x:c r="W106" s="38"/>
      <x:c r="X106" s="38"/>
      <x:c r="Y106" s="38"/>
      <x:c r="Z106" s="138"/>
      <x:c r="AA106" s="138"/>
      <x:c r="AB106" s="138"/>
      <x:c r="AC106" s="144"/>
      <x:c r="AD106" s="144"/>
      <x:c r="AE106" s="38"/>
      <x:c r="AF106" s="48" t="str">
        <x:f>IF(OR(G106="",I106="",J106&lt;&gt;""),"",IF(I106&lt;'요약'!$B$2,"만료",(YEAR(I106)-YEAR('요약'!$B$2))*12+MONTH(I106)-MONTH('요약'!$B$2)))</x:f>
      </x:c>
      <x:c r="AG106" s="48" t="str">
        <x:f>IF(G106="","",IF(AF106="만료","만료",IF(AF106=0,"이달",IF(AF106=1,"다음달",IF(AF106&lt;=3,"3개월 내","장기")))))</x:f>
      </x:c>
    </x:row>
    <x:row r="107" ht="18" customHeight="1">
      <x:c r="A107" s="41"/>
      <x:c r="B107" s="38"/>
      <x:c r="C107" s="38"/>
      <x:c r="D107" s="41"/>
      <x:c r="E107" s="41"/>
      <x:c r="F107" s="38"/>
      <x:c r="G107" s="38"/>
      <x:c r="H107" s="138"/>
      <x:c r="I107" s="138"/>
      <x:c r="J107" s="138"/>
      <x:c r="K107" s="144"/>
      <x:c r="L107" s="144"/>
      <x:c r="M107" s="38"/>
      <x:c r="N107" s="38"/>
      <x:c r="O107" s="38"/>
      <x:c r="P107" s="38"/>
      <x:c r="Q107" s="138"/>
      <x:c r="R107" s="138"/>
      <x:c r="S107" s="138"/>
      <x:c r="T107" s="144"/>
      <x:c r="U107" s="144"/>
      <x:c r="V107" s="38"/>
      <x:c r="W107" s="38"/>
      <x:c r="X107" s="38"/>
      <x:c r="Y107" s="38"/>
      <x:c r="Z107" s="138"/>
      <x:c r="AA107" s="138"/>
      <x:c r="AB107" s="138"/>
      <x:c r="AC107" s="144"/>
      <x:c r="AD107" s="144"/>
      <x:c r="AE107" s="38"/>
      <x:c r="AF107" s="48" t="str">
        <x:f>IF(OR(G107="",I107="",J107&lt;&gt;""),"",IF(I107&lt;'요약'!$B$2,"만료",(YEAR(I107)-YEAR('요약'!$B$2))*12+MONTH(I107)-MONTH('요약'!$B$2)))</x:f>
      </x:c>
      <x:c r="AG107" s="48" t="str">
        <x:f>IF(G107="","",IF(AF107="만료","만료",IF(AF107=0,"이달",IF(AF107=1,"다음달",IF(AF107&lt;=3,"3개월 내","장기")))))</x:f>
      </x:c>
    </x:row>
    <x:row r="108" ht="18" customHeight="1">
      <x:c r="A108" s="41"/>
      <x:c r="B108" s="38"/>
      <x:c r="C108" s="38"/>
      <x:c r="D108" s="41"/>
      <x:c r="E108" s="41"/>
      <x:c r="F108" s="38"/>
      <x:c r="G108" s="38"/>
      <x:c r="H108" s="138"/>
      <x:c r="I108" s="138"/>
      <x:c r="J108" s="138"/>
      <x:c r="K108" s="144"/>
      <x:c r="L108" s="144"/>
      <x:c r="M108" s="38"/>
      <x:c r="N108" s="38"/>
      <x:c r="O108" s="38"/>
      <x:c r="P108" s="38"/>
      <x:c r="Q108" s="138"/>
      <x:c r="R108" s="138"/>
      <x:c r="S108" s="138"/>
      <x:c r="T108" s="144"/>
      <x:c r="U108" s="144"/>
      <x:c r="V108" s="38"/>
      <x:c r="W108" s="38"/>
      <x:c r="X108" s="38"/>
      <x:c r="Y108" s="38"/>
      <x:c r="Z108" s="138"/>
      <x:c r="AA108" s="138"/>
      <x:c r="AB108" s="138"/>
      <x:c r="AC108" s="144"/>
      <x:c r="AD108" s="144"/>
      <x:c r="AE108" s="38"/>
      <x:c r="AF108" s="48" t="str">
        <x:f>IF(OR(G108="",I108="",J108&lt;&gt;""),"",IF(I108&lt;'요약'!$B$2,"만료",(YEAR(I108)-YEAR('요약'!$B$2))*12+MONTH(I108)-MONTH('요약'!$B$2)))</x:f>
      </x:c>
      <x:c r="AG108" s="48" t="str">
        <x:f>IF(G108="","",IF(AF108="만료","만료",IF(AF108=0,"이달",IF(AF108=1,"다음달",IF(AF108&lt;=3,"3개월 내","장기")))))</x:f>
      </x:c>
    </x:row>
    <x:row r="109" ht="18" customHeight="1">
      <x:c r="A109" s="41"/>
      <x:c r="B109" s="38"/>
      <x:c r="C109" s="38"/>
      <x:c r="D109" s="41"/>
      <x:c r="E109" s="41"/>
      <x:c r="F109" s="38"/>
      <x:c r="G109" s="38"/>
      <x:c r="H109" s="138"/>
      <x:c r="I109" s="138"/>
      <x:c r="J109" s="138"/>
      <x:c r="K109" s="144"/>
      <x:c r="L109" s="144"/>
      <x:c r="M109" s="38"/>
      <x:c r="N109" s="38"/>
      <x:c r="O109" s="38"/>
      <x:c r="P109" s="38"/>
      <x:c r="Q109" s="138"/>
      <x:c r="R109" s="138"/>
      <x:c r="S109" s="138"/>
      <x:c r="T109" s="144"/>
      <x:c r="U109" s="144"/>
      <x:c r="V109" s="38"/>
      <x:c r="W109" s="38"/>
      <x:c r="X109" s="38"/>
      <x:c r="Y109" s="38"/>
      <x:c r="Z109" s="138"/>
      <x:c r="AA109" s="138"/>
      <x:c r="AB109" s="138"/>
      <x:c r="AC109" s="144"/>
      <x:c r="AD109" s="144"/>
      <x:c r="AE109" s="38"/>
      <x:c r="AF109" s="48" t="str">
        <x:f>IF(OR(G109="",I109="",J109&lt;&gt;""),"",IF(I109&lt;'요약'!$B$2,"만료",(YEAR(I109)-YEAR('요약'!$B$2))*12+MONTH(I109)-MONTH('요약'!$B$2)))</x:f>
      </x:c>
      <x:c r="AG109" s="48" t="str">
        <x:f>IF(G109="","",IF(AF109="만료","만료",IF(AF109=0,"이달",IF(AF109=1,"다음달",IF(AF109&lt;=3,"3개월 내","장기")))))</x:f>
      </x:c>
    </x:row>
    <x:row r="110" ht="18" customHeight="1">
      <x:c r="A110" s="41"/>
      <x:c r="B110" s="38"/>
      <x:c r="C110" s="38"/>
      <x:c r="D110" s="41"/>
      <x:c r="E110" s="41"/>
      <x:c r="F110" s="38"/>
      <x:c r="G110" s="38"/>
      <x:c r="H110" s="138"/>
      <x:c r="I110" s="138"/>
      <x:c r="J110" s="138"/>
      <x:c r="K110" s="144"/>
      <x:c r="L110" s="144"/>
      <x:c r="M110" s="38"/>
      <x:c r="N110" s="38"/>
      <x:c r="O110" s="38"/>
      <x:c r="P110" s="38"/>
      <x:c r="Q110" s="138"/>
      <x:c r="R110" s="138"/>
      <x:c r="S110" s="138"/>
      <x:c r="T110" s="144"/>
      <x:c r="U110" s="144"/>
      <x:c r="V110" s="38"/>
      <x:c r="W110" s="38"/>
      <x:c r="X110" s="38"/>
      <x:c r="Y110" s="38"/>
      <x:c r="Z110" s="138"/>
      <x:c r="AA110" s="138"/>
      <x:c r="AB110" s="138"/>
      <x:c r="AC110" s="144"/>
      <x:c r="AD110" s="144"/>
      <x:c r="AE110" s="38"/>
      <x:c r="AF110" s="48" t="str">
        <x:f>IF(OR(G110="",I110="",J110&lt;&gt;""),"",IF(I110&lt;'요약'!$B$2,"만료",(YEAR(I110)-YEAR('요약'!$B$2))*12+MONTH(I110)-MONTH('요약'!$B$2)))</x:f>
      </x:c>
      <x:c r="AG110" s="48" t="str">
        <x:f>IF(G110="","",IF(AF110="만료","만료",IF(AF110=0,"이달",IF(AF110=1,"다음달",IF(AF110&lt;=3,"3개월 내","장기")))))</x:f>
      </x:c>
    </x:row>
    <x:row r="111" ht="18" customHeight="1">
      <x:c r="A111" s="41"/>
      <x:c r="B111" s="38"/>
      <x:c r="C111" s="38"/>
      <x:c r="D111" s="41"/>
      <x:c r="E111" s="41"/>
      <x:c r="F111" s="38"/>
      <x:c r="G111" s="38"/>
      <x:c r="H111" s="138"/>
      <x:c r="I111" s="138"/>
      <x:c r="J111" s="138"/>
      <x:c r="K111" s="144"/>
      <x:c r="L111" s="144"/>
      <x:c r="M111" s="38"/>
      <x:c r="N111" s="38"/>
      <x:c r="O111" s="38"/>
      <x:c r="P111" s="38"/>
      <x:c r="Q111" s="138"/>
      <x:c r="R111" s="138"/>
      <x:c r="S111" s="138"/>
      <x:c r="T111" s="144"/>
      <x:c r="U111" s="144"/>
      <x:c r="V111" s="38"/>
      <x:c r="W111" s="38"/>
      <x:c r="X111" s="38"/>
      <x:c r="Y111" s="38"/>
      <x:c r="Z111" s="138"/>
      <x:c r="AA111" s="138"/>
      <x:c r="AB111" s="138"/>
      <x:c r="AC111" s="144"/>
      <x:c r="AD111" s="144"/>
      <x:c r="AE111" s="38"/>
      <x:c r="AF111" s="48" t="str">
        <x:f>IF(OR(G111="",I111="",J111&lt;&gt;""),"",IF(I111&lt;'요약'!$B$2,"만료",(YEAR(I111)-YEAR('요약'!$B$2))*12+MONTH(I111)-MONTH('요약'!$B$2)))</x:f>
      </x:c>
      <x:c r="AG111" s="48" t="str">
        <x:f>IF(G111="","",IF(AF111="만료","만료",IF(AF111=0,"이달",IF(AF111=1,"다음달",IF(AF111&lt;=3,"3개월 내","장기")))))</x:f>
      </x:c>
    </x:row>
    <x:row r="112" ht="18" customHeight="1">
      <x:c r="A112" s="41"/>
      <x:c r="B112" s="38"/>
      <x:c r="C112" s="38"/>
      <x:c r="D112" s="41"/>
      <x:c r="E112" s="41"/>
      <x:c r="F112" s="38"/>
      <x:c r="G112" s="38"/>
      <x:c r="H112" s="138"/>
      <x:c r="I112" s="138"/>
      <x:c r="J112" s="138"/>
      <x:c r="K112" s="144"/>
      <x:c r="L112" s="144"/>
      <x:c r="M112" s="38"/>
      <x:c r="N112" s="38"/>
      <x:c r="O112" s="38"/>
      <x:c r="P112" s="38"/>
      <x:c r="Q112" s="138"/>
      <x:c r="R112" s="138"/>
      <x:c r="S112" s="138"/>
      <x:c r="T112" s="144"/>
      <x:c r="U112" s="144"/>
      <x:c r="V112" s="38"/>
      <x:c r="W112" s="38"/>
      <x:c r="X112" s="38"/>
      <x:c r="Y112" s="38"/>
      <x:c r="Z112" s="138"/>
      <x:c r="AA112" s="138"/>
      <x:c r="AB112" s="138"/>
      <x:c r="AC112" s="144"/>
      <x:c r="AD112" s="144"/>
      <x:c r="AE112" s="38"/>
      <x:c r="AF112" s="48" t="str">
        <x:f>IF(OR(G112="",I112="",J112&lt;&gt;""),"",IF(I112&lt;'요약'!$B$2,"만료",(YEAR(I112)-YEAR('요약'!$B$2))*12+MONTH(I112)-MONTH('요약'!$B$2)))</x:f>
      </x:c>
      <x:c r="AG112" s="48" t="str">
        <x:f>IF(G112="","",IF(AF112="만료","만료",IF(AF112=0,"이달",IF(AF112=1,"다음달",IF(AF112&lt;=3,"3개월 내","장기")))))</x:f>
      </x:c>
    </x:row>
    <x:row r="113" ht="18" customHeight="1">
      <x:c r="A113" s="41"/>
      <x:c r="B113" s="38"/>
      <x:c r="C113" s="38"/>
      <x:c r="D113" s="41"/>
      <x:c r="E113" s="41"/>
      <x:c r="F113" s="38"/>
      <x:c r="G113" s="38"/>
      <x:c r="H113" s="138"/>
      <x:c r="I113" s="138"/>
      <x:c r="J113" s="138"/>
      <x:c r="K113" s="144"/>
      <x:c r="L113" s="144"/>
      <x:c r="M113" s="38"/>
      <x:c r="N113" s="38"/>
      <x:c r="O113" s="38"/>
      <x:c r="P113" s="38"/>
      <x:c r="Q113" s="138"/>
      <x:c r="R113" s="138"/>
      <x:c r="S113" s="138"/>
      <x:c r="T113" s="144"/>
      <x:c r="U113" s="144"/>
      <x:c r="V113" s="38"/>
      <x:c r="W113" s="38"/>
      <x:c r="X113" s="38"/>
      <x:c r="Y113" s="38"/>
      <x:c r="Z113" s="138"/>
      <x:c r="AA113" s="138"/>
      <x:c r="AB113" s="138"/>
      <x:c r="AC113" s="144"/>
      <x:c r="AD113" s="144"/>
      <x:c r="AE113" s="38"/>
      <x:c r="AF113" s="48" t="str">
        <x:f>IF(OR(G113="",I113="",J113&lt;&gt;""),"",IF(I113&lt;'요약'!$B$2,"만료",(YEAR(I113)-YEAR('요약'!$B$2))*12+MONTH(I113)-MONTH('요약'!$B$2)))</x:f>
      </x:c>
      <x:c r="AG113" s="48" t="str">
        <x:f>IF(G113="","",IF(AF113="만료","만료",IF(AF113=0,"이달",IF(AF113=1,"다음달",IF(AF113&lt;=3,"3개월 내","장기")))))</x:f>
      </x:c>
    </x:row>
    <x:row r="114" ht="18" customHeight="1">
      <x:c r="A114" s="41"/>
      <x:c r="B114" s="38"/>
      <x:c r="C114" s="38"/>
      <x:c r="D114" s="41"/>
      <x:c r="E114" s="41"/>
      <x:c r="F114" s="38"/>
      <x:c r="G114" s="38"/>
      <x:c r="H114" s="138"/>
      <x:c r="I114" s="138"/>
      <x:c r="J114" s="138"/>
      <x:c r="K114" s="144"/>
      <x:c r="L114" s="144"/>
      <x:c r="M114" s="38"/>
      <x:c r="N114" s="38"/>
      <x:c r="O114" s="38"/>
      <x:c r="P114" s="38"/>
      <x:c r="Q114" s="138"/>
      <x:c r="R114" s="138"/>
      <x:c r="S114" s="138"/>
      <x:c r="T114" s="144"/>
      <x:c r="U114" s="144"/>
      <x:c r="V114" s="38"/>
      <x:c r="W114" s="38"/>
      <x:c r="X114" s="38"/>
      <x:c r="Y114" s="38"/>
      <x:c r="Z114" s="138"/>
      <x:c r="AA114" s="138"/>
      <x:c r="AB114" s="138"/>
      <x:c r="AC114" s="144"/>
      <x:c r="AD114" s="144"/>
      <x:c r="AE114" s="38"/>
      <x:c r="AF114" s="48" t="str">
        <x:f>IF(OR(G114="",I114="",J114&lt;&gt;""),"",IF(I114&lt;'요약'!$B$2,"만료",(YEAR(I114)-YEAR('요약'!$B$2))*12+MONTH(I114)-MONTH('요약'!$B$2)))</x:f>
      </x:c>
      <x:c r="AG114" s="48" t="str">
        <x:f>IF(G114="","",IF(AF114="만료","만료",IF(AF114=0,"이달",IF(AF114=1,"다음달",IF(AF114&lt;=3,"3개월 내","장기")))))</x:f>
      </x:c>
    </x:row>
    <x:row r="115" ht="18" customHeight="1">
      <x:c r="A115" s="41"/>
      <x:c r="B115" s="38"/>
      <x:c r="C115" s="38"/>
      <x:c r="D115" s="41"/>
      <x:c r="E115" s="41"/>
      <x:c r="F115" s="38"/>
      <x:c r="G115" s="38"/>
      <x:c r="H115" s="138"/>
      <x:c r="I115" s="138"/>
      <x:c r="J115" s="138"/>
      <x:c r="K115" s="144"/>
      <x:c r="L115" s="144"/>
      <x:c r="M115" s="38"/>
      <x:c r="N115" s="38"/>
      <x:c r="O115" s="38"/>
      <x:c r="P115" s="38"/>
      <x:c r="Q115" s="138"/>
      <x:c r="R115" s="138"/>
      <x:c r="S115" s="138"/>
      <x:c r="T115" s="144"/>
      <x:c r="U115" s="144"/>
      <x:c r="V115" s="38"/>
      <x:c r="W115" s="38"/>
      <x:c r="X115" s="38"/>
      <x:c r="Y115" s="38"/>
      <x:c r="Z115" s="138"/>
      <x:c r="AA115" s="138"/>
      <x:c r="AB115" s="138"/>
      <x:c r="AC115" s="144"/>
      <x:c r="AD115" s="144"/>
      <x:c r="AE115" s="38"/>
      <x:c r="AF115" s="48" t="str">
        <x:f>IF(OR(G115="",I115="",J115&lt;&gt;""),"",IF(I115&lt;'요약'!$B$2,"만료",(YEAR(I115)-YEAR('요약'!$B$2))*12+MONTH(I115)-MONTH('요약'!$B$2)))</x:f>
      </x:c>
      <x:c r="AG115" s="48" t="str">
        <x:f>IF(G115="","",IF(AF115="만료","만료",IF(AF115=0,"이달",IF(AF115=1,"다음달",IF(AF115&lt;=3,"3개월 내","장기")))))</x:f>
      </x:c>
    </x:row>
    <x:row r="116" ht="18" customHeight="1">
      <x:c r="A116" s="41"/>
      <x:c r="B116" s="38"/>
      <x:c r="C116" s="38"/>
      <x:c r="D116" s="41"/>
      <x:c r="E116" s="41"/>
      <x:c r="F116" s="38"/>
      <x:c r="G116" s="38"/>
      <x:c r="H116" s="138"/>
      <x:c r="I116" s="138"/>
      <x:c r="J116" s="138"/>
      <x:c r="K116" s="144"/>
      <x:c r="L116" s="144"/>
      <x:c r="M116" s="38"/>
      <x:c r="N116" s="38"/>
      <x:c r="O116" s="38"/>
      <x:c r="P116" s="38"/>
      <x:c r="Q116" s="138"/>
      <x:c r="R116" s="138"/>
      <x:c r="S116" s="138"/>
      <x:c r="T116" s="144"/>
      <x:c r="U116" s="144"/>
      <x:c r="V116" s="38"/>
      <x:c r="W116" s="38"/>
      <x:c r="X116" s="38"/>
      <x:c r="Y116" s="38"/>
      <x:c r="Z116" s="138"/>
      <x:c r="AA116" s="138"/>
      <x:c r="AB116" s="138"/>
      <x:c r="AC116" s="144"/>
      <x:c r="AD116" s="144"/>
      <x:c r="AE116" s="38"/>
      <x:c r="AF116" s="48" t="str">
        <x:f>IF(OR(G116="",I116="",J116&lt;&gt;""),"",IF(I116&lt;'요약'!$B$2,"만료",(YEAR(I116)-YEAR('요약'!$B$2))*12+MONTH(I116)-MONTH('요약'!$B$2)))</x:f>
      </x:c>
      <x:c r="AG116" s="48" t="str">
        <x:f>IF(G116="","",IF(AF116="만료","만료",IF(AF116=0,"이달",IF(AF116=1,"다음달",IF(AF116&lt;=3,"3개월 내","장기")))))</x:f>
      </x:c>
    </x:row>
    <x:row r="117" ht="18" customHeight="1">
      <x:c r="A117" s="41"/>
      <x:c r="B117" s="38"/>
      <x:c r="C117" s="38"/>
      <x:c r="D117" s="41"/>
      <x:c r="E117" s="41"/>
      <x:c r="F117" s="38"/>
      <x:c r="G117" s="38"/>
      <x:c r="H117" s="138"/>
      <x:c r="I117" s="138"/>
      <x:c r="J117" s="138"/>
      <x:c r="K117" s="144"/>
      <x:c r="L117" s="144"/>
      <x:c r="M117" s="38"/>
      <x:c r="N117" s="38"/>
      <x:c r="O117" s="38"/>
      <x:c r="P117" s="38"/>
      <x:c r="Q117" s="138"/>
      <x:c r="R117" s="138"/>
      <x:c r="S117" s="138"/>
      <x:c r="T117" s="144"/>
      <x:c r="U117" s="144"/>
      <x:c r="V117" s="38"/>
      <x:c r="W117" s="38"/>
      <x:c r="X117" s="38"/>
      <x:c r="Y117" s="38"/>
      <x:c r="Z117" s="138"/>
      <x:c r="AA117" s="138"/>
      <x:c r="AB117" s="138"/>
      <x:c r="AC117" s="144"/>
      <x:c r="AD117" s="144"/>
      <x:c r="AE117" s="38"/>
      <x:c r="AF117" s="48" t="str">
        <x:f>IF(OR(G117="",I117="",J117&lt;&gt;""),"",IF(I117&lt;'요약'!$B$2,"만료",(YEAR(I117)-YEAR('요약'!$B$2))*12+MONTH(I117)-MONTH('요약'!$B$2)))</x:f>
      </x:c>
      <x:c r="AG117" s="48" t="str">
        <x:f>IF(G117="","",IF(AF117="만료","만료",IF(AF117=0,"이달",IF(AF117=1,"다음달",IF(AF117&lt;=3,"3개월 내","장기")))))</x:f>
      </x:c>
    </x:row>
    <x:row r="118" ht="18" customHeight="1">
      <x:c r="A118" s="41"/>
      <x:c r="B118" s="38"/>
      <x:c r="C118" s="38"/>
      <x:c r="D118" s="41"/>
      <x:c r="E118" s="41"/>
      <x:c r="F118" s="38"/>
      <x:c r="G118" s="38"/>
      <x:c r="H118" s="138"/>
      <x:c r="I118" s="138"/>
      <x:c r="J118" s="138"/>
      <x:c r="K118" s="144"/>
      <x:c r="L118" s="144"/>
      <x:c r="M118" s="38"/>
      <x:c r="N118" s="38"/>
      <x:c r="O118" s="38"/>
      <x:c r="P118" s="38"/>
      <x:c r="Q118" s="138"/>
      <x:c r="R118" s="138"/>
      <x:c r="S118" s="138"/>
      <x:c r="T118" s="144"/>
      <x:c r="U118" s="144"/>
      <x:c r="V118" s="38"/>
      <x:c r="W118" s="38"/>
      <x:c r="X118" s="38"/>
      <x:c r="Y118" s="38"/>
      <x:c r="Z118" s="138"/>
      <x:c r="AA118" s="138"/>
      <x:c r="AB118" s="138"/>
      <x:c r="AC118" s="144"/>
      <x:c r="AD118" s="144"/>
      <x:c r="AE118" s="38"/>
      <x:c r="AF118" s="48" t="str">
        <x:f>IF(OR(G118="",I118="",J118&lt;&gt;""),"",IF(I118&lt;'요약'!$B$2,"만료",(YEAR(I118)-YEAR('요약'!$B$2))*12+MONTH(I118)-MONTH('요약'!$B$2)))</x:f>
      </x:c>
      <x:c r="AG118" s="48" t="str">
        <x:f>IF(G118="","",IF(AF118="만료","만료",IF(AF118=0,"이달",IF(AF118=1,"다음달",IF(AF118&lt;=3,"3개월 내","장기")))))</x:f>
      </x:c>
    </x:row>
    <x:row r="119" ht="18" customHeight="1">
      <x:c r="A119" s="41"/>
      <x:c r="B119" s="38"/>
      <x:c r="C119" s="38"/>
      <x:c r="D119" s="41"/>
      <x:c r="E119" s="41"/>
      <x:c r="F119" s="38"/>
      <x:c r="G119" s="38"/>
      <x:c r="H119" s="138"/>
      <x:c r="I119" s="138"/>
      <x:c r="J119" s="138"/>
      <x:c r="K119" s="144"/>
      <x:c r="L119" s="144"/>
      <x:c r="M119" s="38"/>
      <x:c r="N119" s="38"/>
      <x:c r="O119" s="38"/>
      <x:c r="P119" s="38"/>
      <x:c r="Q119" s="138"/>
      <x:c r="R119" s="138"/>
      <x:c r="S119" s="138"/>
      <x:c r="T119" s="144"/>
      <x:c r="U119" s="144"/>
      <x:c r="V119" s="38"/>
      <x:c r="W119" s="38"/>
      <x:c r="X119" s="38"/>
      <x:c r="Y119" s="38"/>
      <x:c r="Z119" s="138"/>
      <x:c r="AA119" s="138"/>
      <x:c r="AB119" s="138"/>
      <x:c r="AC119" s="144"/>
      <x:c r="AD119" s="144"/>
      <x:c r="AE119" s="38"/>
      <x:c r="AF119" s="48" t="str">
        <x:f>IF(OR(G119="",I119="",J119&lt;&gt;""),"",IF(I119&lt;'요약'!$B$2,"만료",(YEAR(I119)-YEAR('요약'!$B$2))*12+MONTH(I119)-MONTH('요약'!$B$2)))</x:f>
      </x:c>
      <x:c r="AG119" s="48" t="str">
        <x:f>IF(G119="","",IF(AF119="만료","만료",IF(AF119=0,"이달",IF(AF119=1,"다음달",IF(AF119&lt;=3,"3개월 내","장기")))))</x:f>
      </x:c>
    </x:row>
    <x:row r="120" ht="18" customHeight="1">
      <x:c r="A120" s="41"/>
      <x:c r="B120" s="38"/>
      <x:c r="C120" s="38"/>
      <x:c r="D120" s="41"/>
      <x:c r="E120" s="41"/>
      <x:c r="F120" s="38"/>
      <x:c r="G120" s="38"/>
      <x:c r="H120" s="138"/>
      <x:c r="I120" s="138"/>
      <x:c r="J120" s="138"/>
      <x:c r="K120" s="144"/>
      <x:c r="L120" s="144"/>
      <x:c r="M120" s="38"/>
      <x:c r="N120" s="38"/>
      <x:c r="O120" s="38"/>
      <x:c r="P120" s="38"/>
      <x:c r="Q120" s="138"/>
      <x:c r="R120" s="138"/>
      <x:c r="S120" s="138"/>
      <x:c r="T120" s="144"/>
      <x:c r="U120" s="144"/>
      <x:c r="V120" s="38"/>
      <x:c r="W120" s="38"/>
      <x:c r="X120" s="38"/>
      <x:c r="Y120" s="38"/>
      <x:c r="Z120" s="138"/>
      <x:c r="AA120" s="138"/>
      <x:c r="AB120" s="138"/>
      <x:c r="AC120" s="144"/>
      <x:c r="AD120" s="144"/>
      <x:c r="AE120" s="38"/>
      <x:c r="AF120" s="48" t="str">
        <x:f>IF(OR(G120="",I120="",J120&lt;&gt;""),"",IF(I120&lt;'요약'!$B$2,"만료",(YEAR(I120)-YEAR('요약'!$B$2))*12+MONTH(I120)-MONTH('요약'!$B$2)))</x:f>
      </x:c>
      <x:c r="AG120" s="48" t="str">
        <x:f>IF(G120="","",IF(AF120="만료","만료",IF(AF120=0,"이달",IF(AF120=1,"다음달",IF(AF120&lt;=3,"3개월 내","장기")))))</x:f>
      </x:c>
    </x:row>
    <x:row r="121" ht="18" customHeight="1">
      <x:c r="A121" s="41"/>
      <x:c r="B121" s="38"/>
      <x:c r="C121" s="38"/>
      <x:c r="D121" s="41"/>
      <x:c r="E121" s="41"/>
      <x:c r="F121" s="38"/>
      <x:c r="G121" s="38"/>
      <x:c r="H121" s="138"/>
      <x:c r="I121" s="138"/>
      <x:c r="J121" s="138"/>
      <x:c r="K121" s="144"/>
      <x:c r="L121" s="144"/>
      <x:c r="M121" s="38"/>
      <x:c r="N121" s="38"/>
      <x:c r="O121" s="38"/>
      <x:c r="P121" s="38"/>
      <x:c r="Q121" s="138"/>
      <x:c r="R121" s="138"/>
      <x:c r="S121" s="138"/>
      <x:c r="T121" s="144"/>
      <x:c r="U121" s="144"/>
      <x:c r="V121" s="38"/>
      <x:c r="W121" s="38"/>
      <x:c r="X121" s="38"/>
      <x:c r="Y121" s="38"/>
      <x:c r="Z121" s="138"/>
      <x:c r="AA121" s="138"/>
      <x:c r="AB121" s="138"/>
      <x:c r="AC121" s="144"/>
      <x:c r="AD121" s="144"/>
      <x:c r="AE121" s="38"/>
      <x:c r="AF121" s="48" t="str">
        <x:f>IF(OR(G121="",I121="",J121&lt;&gt;""),"",IF(I121&lt;'요약'!$B$2,"만료",(YEAR(I121)-YEAR('요약'!$B$2))*12+MONTH(I121)-MONTH('요약'!$B$2)))</x:f>
      </x:c>
      <x:c r="AG121" s="48" t="str">
        <x:f>IF(G121="","",IF(AF121="만료","만료",IF(AF121=0,"이달",IF(AF121=1,"다음달",IF(AF121&lt;=3,"3개월 내","장기")))))</x:f>
      </x:c>
    </x:row>
    <x:row r="122" ht="18" customHeight="1">
      <x:c r="A122" s="41"/>
      <x:c r="B122" s="38"/>
      <x:c r="C122" s="38"/>
      <x:c r="D122" s="41"/>
      <x:c r="E122" s="41"/>
      <x:c r="F122" s="38"/>
      <x:c r="G122" s="38"/>
      <x:c r="H122" s="138"/>
      <x:c r="I122" s="138"/>
      <x:c r="J122" s="138"/>
      <x:c r="K122" s="144"/>
      <x:c r="L122" s="144"/>
      <x:c r="M122" s="38"/>
      <x:c r="N122" s="38"/>
      <x:c r="O122" s="38"/>
      <x:c r="P122" s="38"/>
      <x:c r="Q122" s="138"/>
      <x:c r="R122" s="138"/>
      <x:c r="S122" s="138"/>
      <x:c r="T122" s="144"/>
      <x:c r="U122" s="144"/>
      <x:c r="V122" s="38"/>
      <x:c r="W122" s="38"/>
      <x:c r="X122" s="38"/>
      <x:c r="Y122" s="38"/>
      <x:c r="Z122" s="138"/>
      <x:c r="AA122" s="138"/>
      <x:c r="AB122" s="138"/>
      <x:c r="AC122" s="144"/>
      <x:c r="AD122" s="144"/>
      <x:c r="AE122" s="38"/>
      <x:c r="AF122" s="48" t="str">
        <x:f>IF(OR(G122="",I122="",J122&lt;&gt;""),"",IF(I122&lt;'요약'!$B$2,"만료",(YEAR(I122)-YEAR('요약'!$B$2))*12+MONTH(I122)-MONTH('요약'!$B$2)))</x:f>
      </x:c>
      <x:c r="AG122" s="48" t="str">
        <x:f>IF(G122="","",IF(AF122="만료","만료",IF(AF122=0,"이달",IF(AF122=1,"다음달",IF(AF122&lt;=3,"3개월 내","장기")))))</x:f>
      </x:c>
    </x:row>
    <x:row r="123" ht="18" customHeight="1">
      <x:c r="A123" s="41"/>
      <x:c r="B123" s="38"/>
      <x:c r="C123" s="38"/>
      <x:c r="D123" s="41"/>
      <x:c r="E123" s="41"/>
      <x:c r="F123" s="38"/>
      <x:c r="G123" s="38"/>
      <x:c r="H123" s="138"/>
      <x:c r="I123" s="138"/>
      <x:c r="J123" s="138"/>
      <x:c r="K123" s="144"/>
      <x:c r="L123" s="144"/>
      <x:c r="M123" s="38"/>
      <x:c r="N123" s="38"/>
      <x:c r="O123" s="38"/>
      <x:c r="P123" s="38"/>
      <x:c r="Q123" s="138"/>
      <x:c r="R123" s="138"/>
      <x:c r="S123" s="138"/>
      <x:c r="T123" s="144"/>
      <x:c r="U123" s="144"/>
      <x:c r="V123" s="38"/>
      <x:c r="W123" s="38"/>
      <x:c r="X123" s="38"/>
      <x:c r="Y123" s="38"/>
      <x:c r="Z123" s="138"/>
      <x:c r="AA123" s="138"/>
      <x:c r="AB123" s="138"/>
      <x:c r="AC123" s="144"/>
      <x:c r="AD123" s="144"/>
      <x:c r="AE123" s="38"/>
      <x:c r="AF123" s="48" t="str">
        <x:f>IF(OR(G123="",I123="",J123&lt;&gt;""),"",IF(I123&lt;'요약'!$B$2,"만료",(YEAR(I123)-YEAR('요약'!$B$2))*12+MONTH(I123)-MONTH('요약'!$B$2)))</x:f>
      </x:c>
      <x:c r="AG123" s="48" t="str">
        <x:f>IF(G123="","",IF(AF123="만료","만료",IF(AF123=0,"이달",IF(AF123=1,"다음달",IF(AF123&lt;=3,"3개월 내","장기")))))</x:f>
      </x:c>
    </x:row>
    <x:row r="124" ht="18" customHeight="1">
      <x:c r="A124" s="41"/>
      <x:c r="B124" s="38"/>
      <x:c r="C124" s="38"/>
      <x:c r="D124" s="41"/>
      <x:c r="E124" s="41"/>
      <x:c r="F124" s="38"/>
      <x:c r="G124" s="38"/>
      <x:c r="H124" s="138"/>
      <x:c r="I124" s="138"/>
      <x:c r="J124" s="138"/>
      <x:c r="K124" s="144"/>
      <x:c r="L124" s="144"/>
      <x:c r="M124" s="38"/>
      <x:c r="N124" s="38"/>
      <x:c r="O124" s="38"/>
      <x:c r="P124" s="38"/>
      <x:c r="Q124" s="138"/>
      <x:c r="R124" s="138"/>
      <x:c r="S124" s="138"/>
      <x:c r="T124" s="144"/>
      <x:c r="U124" s="144"/>
      <x:c r="V124" s="38"/>
      <x:c r="W124" s="38"/>
      <x:c r="X124" s="38"/>
      <x:c r="Y124" s="38"/>
      <x:c r="Z124" s="138"/>
      <x:c r="AA124" s="138"/>
      <x:c r="AB124" s="138"/>
      <x:c r="AC124" s="144"/>
      <x:c r="AD124" s="144"/>
      <x:c r="AE124" s="38"/>
      <x:c r="AF124" s="48" t="str">
        <x:f>IF(OR(G124="",I124="",J124&lt;&gt;""),"",IF(I124&lt;'요약'!$B$2,"만료",(YEAR(I124)-YEAR('요약'!$B$2))*12+MONTH(I124)-MONTH('요약'!$B$2)))</x:f>
      </x:c>
      <x:c r="AG124" s="48" t="str">
        <x:f>IF(G124="","",IF(AF124="만료","만료",IF(AF124=0,"이달",IF(AF124=1,"다음달",IF(AF124&lt;=3,"3개월 내","장기")))))</x:f>
      </x:c>
    </x:row>
    <x:row r="125" ht="18" customHeight="1">
      <x:c r="A125" s="41"/>
      <x:c r="B125" s="38"/>
      <x:c r="C125" s="38"/>
      <x:c r="D125" s="41"/>
      <x:c r="E125" s="41"/>
      <x:c r="F125" s="38"/>
      <x:c r="G125" s="38"/>
      <x:c r="H125" s="138"/>
      <x:c r="I125" s="138"/>
      <x:c r="J125" s="138"/>
      <x:c r="K125" s="144"/>
      <x:c r="L125" s="144"/>
      <x:c r="M125" s="38"/>
      <x:c r="N125" s="38"/>
      <x:c r="O125" s="38"/>
      <x:c r="P125" s="38"/>
      <x:c r="Q125" s="138"/>
      <x:c r="R125" s="138"/>
      <x:c r="S125" s="138"/>
      <x:c r="T125" s="144"/>
      <x:c r="U125" s="144"/>
      <x:c r="V125" s="38"/>
      <x:c r="W125" s="38"/>
      <x:c r="X125" s="38"/>
      <x:c r="Y125" s="38"/>
      <x:c r="Z125" s="138"/>
      <x:c r="AA125" s="138"/>
      <x:c r="AB125" s="138"/>
      <x:c r="AC125" s="144"/>
      <x:c r="AD125" s="144"/>
      <x:c r="AE125" s="38"/>
      <x:c r="AF125" s="48" t="str">
        <x:f>IF(OR(G125="",I125="",J125&lt;&gt;""),"",IF(I125&lt;'요약'!$B$2,"만료",(YEAR(I125)-YEAR('요약'!$B$2))*12+MONTH(I125)-MONTH('요약'!$B$2)))</x:f>
      </x:c>
      <x:c r="AG125" s="48" t="str">
        <x:f>IF(G125="","",IF(AF125="만료","만료",IF(AF125=0,"이달",IF(AF125=1,"다음달",IF(AF125&lt;=3,"3개월 내","장기")))))</x:f>
      </x:c>
    </x:row>
    <x:row r="126" ht="18" customHeight="1">
      <x:c r="A126" s="41"/>
      <x:c r="B126" s="38"/>
      <x:c r="C126" s="38"/>
      <x:c r="D126" s="41"/>
      <x:c r="E126" s="41"/>
      <x:c r="F126" s="38"/>
      <x:c r="G126" s="38"/>
      <x:c r="H126" s="138"/>
      <x:c r="I126" s="138"/>
      <x:c r="J126" s="138"/>
      <x:c r="K126" s="144"/>
      <x:c r="L126" s="144"/>
      <x:c r="M126" s="38"/>
      <x:c r="N126" s="38"/>
      <x:c r="O126" s="38"/>
      <x:c r="P126" s="38"/>
      <x:c r="Q126" s="138"/>
      <x:c r="R126" s="138"/>
      <x:c r="S126" s="138"/>
      <x:c r="T126" s="144"/>
      <x:c r="U126" s="144"/>
      <x:c r="V126" s="38"/>
      <x:c r="W126" s="38"/>
      <x:c r="X126" s="38"/>
      <x:c r="Y126" s="38"/>
      <x:c r="Z126" s="138"/>
      <x:c r="AA126" s="138"/>
      <x:c r="AB126" s="138"/>
      <x:c r="AC126" s="144"/>
      <x:c r="AD126" s="144"/>
      <x:c r="AE126" s="38"/>
      <x:c r="AF126" s="48" t="str">
        <x:f>IF(OR(G126="",I126="",J126&lt;&gt;""),"",IF(I126&lt;'요약'!$B$2,"만료",(YEAR(I126)-YEAR('요약'!$B$2))*12+MONTH(I126)-MONTH('요약'!$B$2)))</x:f>
      </x:c>
      <x:c r="AG126" s="48" t="str">
        <x:f>IF(G126="","",IF(AF126="만료","만료",IF(AF126=0,"이달",IF(AF126=1,"다음달",IF(AF126&lt;=3,"3개월 내","장기")))))</x:f>
      </x:c>
    </x:row>
    <x:row r="127" ht="18" customHeight="1">
      <x:c r="A127" s="41"/>
      <x:c r="B127" s="38"/>
      <x:c r="C127" s="38"/>
      <x:c r="D127" s="41"/>
      <x:c r="E127" s="41"/>
      <x:c r="F127" s="38"/>
      <x:c r="G127" s="38"/>
      <x:c r="H127" s="138"/>
      <x:c r="I127" s="138"/>
      <x:c r="J127" s="138"/>
      <x:c r="K127" s="144"/>
      <x:c r="L127" s="144"/>
      <x:c r="M127" s="38"/>
      <x:c r="N127" s="38"/>
      <x:c r="O127" s="38"/>
      <x:c r="P127" s="38"/>
      <x:c r="Q127" s="138"/>
      <x:c r="R127" s="138"/>
      <x:c r="S127" s="138"/>
      <x:c r="T127" s="144"/>
      <x:c r="U127" s="144"/>
      <x:c r="V127" s="38"/>
      <x:c r="W127" s="38"/>
      <x:c r="X127" s="38"/>
      <x:c r="Y127" s="38"/>
      <x:c r="Z127" s="138"/>
      <x:c r="AA127" s="138"/>
      <x:c r="AB127" s="138"/>
      <x:c r="AC127" s="144"/>
      <x:c r="AD127" s="144"/>
      <x:c r="AE127" s="38"/>
      <x:c r="AF127" s="48" t="str">
        <x:f>IF(OR(G127="",I127="",J127&lt;&gt;""),"",IF(I127&lt;'요약'!$B$2,"만료",(YEAR(I127)-YEAR('요약'!$B$2))*12+MONTH(I127)-MONTH('요약'!$B$2)))</x:f>
      </x:c>
      <x:c r="AG127" s="48" t="str">
        <x:f>IF(G127="","",IF(AF127="만료","만료",IF(AF127=0,"이달",IF(AF127=1,"다음달",IF(AF127&lt;=3,"3개월 내","장기")))))</x:f>
      </x:c>
    </x:row>
    <x:row r="128" ht="18" customHeight="1">
      <x:c r="A128" s="41"/>
      <x:c r="B128" s="38"/>
      <x:c r="C128" s="38"/>
      <x:c r="D128" s="41"/>
      <x:c r="E128" s="41"/>
      <x:c r="F128" s="38"/>
      <x:c r="G128" s="38"/>
      <x:c r="H128" s="138"/>
      <x:c r="I128" s="138"/>
      <x:c r="J128" s="138"/>
      <x:c r="K128" s="144"/>
      <x:c r="L128" s="144"/>
      <x:c r="M128" s="38"/>
      <x:c r="N128" s="38"/>
      <x:c r="O128" s="38"/>
      <x:c r="P128" s="38"/>
      <x:c r="Q128" s="138"/>
      <x:c r="R128" s="138"/>
      <x:c r="S128" s="138"/>
      <x:c r="T128" s="144"/>
      <x:c r="U128" s="144"/>
      <x:c r="V128" s="38"/>
      <x:c r="W128" s="38"/>
      <x:c r="X128" s="38"/>
      <x:c r="Y128" s="38"/>
      <x:c r="Z128" s="138"/>
      <x:c r="AA128" s="138"/>
      <x:c r="AB128" s="138"/>
      <x:c r="AC128" s="144"/>
      <x:c r="AD128" s="144"/>
      <x:c r="AE128" s="38"/>
      <x:c r="AF128" s="48" t="str">
        <x:f>IF(OR(G128="",I128="",J128&lt;&gt;""),"",IF(I128&lt;'요약'!$B$2,"만료",(YEAR(I128)-YEAR('요약'!$B$2))*12+MONTH(I128)-MONTH('요약'!$B$2)))</x:f>
      </x:c>
      <x:c r="AG128" s="48" t="str">
        <x:f>IF(G128="","",IF(AF128="만료","만료",IF(AF128=0,"이달",IF(AF128=1,"다음달",IF(AF128&lt;=3,"3개월 내","장기")))))</x:f>
      </x:c>
    </x:row>
    <x:row r="129" ht="18" customHeight="1">
      <x:c r="A129" s="41"/>
      <x:c r="B129" s="38"/>
      <x:c r="C129" s="38"/>
      <x:c r="D129" s="41"/>
      <x:c r="E129" s="41"/>
      <x:c r="F129" s="38"/>
      <x:c r="G129" s="38"/>
      <x:c r="H129" s="138"/>
      <x:c r="I129" s="138"/>
      <x:c r="J129" s="138"/>
      <x:c r="K129" s="144"/>
      <x:c r="L129" s="144"/>
      <x:c r="M129" s="38"/>
      <x:c r="N129" s="38"/>
      <x:c r="O129" s="38"/>
      <x:c r="P129" s="38"/>
      <x:c r="Q129" s="138"/>
      <x:c r="R129" s="138"/>
      <x:c r="S129" s="138"/>
      <x:c r="T129" s="144"/>
      <x:c r="U129" s="144"/>
      <x:c r="V129" s="38"/>
      <x:c r="W129" s="38"/>
      <x:c r="X129" s="38"/>
      <x:c r="Y129" s="38"/>
      <x:c r="Z129" s="138"/>
      <x:c r="AA129" s="138"/>
      <x:c r="AB129" s="138"/>
      <x:c r="AC129" s="144"/>
      <x:c r="AD129" s="144"/>
      <x:c r="AE129" s="38"/>
      <x:c r="AF129" s="48" t="str">
        <x:f>IF(OR(G129="",I129="",J129&lt;&gt;""),"",IF(I129&lt;'요약'!$B$2,"만료",(YEAR(I129)-YEAR('요약'!$B$2))*12+MONTH(I129)-MONTH('요약'!$B$2)))</x:f>
      </x:c>
      <x:c r="AG129" s="48" t="str">
        <x:f>IF(G129="","",IF(AF129="만료","만료",IF(AF129=0,"이달",IF(AF129=1,"다음달",IF(AF129&lt;=3,"3개월 내","장기")))))</x:f>
      </x:c>
    </x:row>
    <x:row r="130" ht="18" customHeight="1">
      <x:c r="A130" s="41"/>
      <x:c r="B130" s="38"/>
      <x:c r="C130" s="38"/>
      <x:c r="D130" s="41"/>
      <x:c r="E130" s="41"/>
      <x:c r="F130" s="38"/>
      <x:c r="G130" s="38"/>
      <x:c r="H130" s="138"/>
      <x:c r="I130" s="138"/>
      <x:c r="J130" s="138"/>
      <x:c r="K130" s="144"/>
      <x:c r="L130" s="144"/>
      <x:c r="M130" s="38"/>
      <x:c r="N130" s="38"/>
      <x:c r="O130" s="38"/>
      <x:c r="P130" s="38"/>
      <x:c r="Q130" s="138"/>
      <x:c r="R130" s="138"/>
      <x:c r="S130" s="138"/>
      <x:c r="T130" s="144"/>
      <x:c r="U130" s="144"/>
      <x:c r="V130" s="38"/>
      <x:c r="W130" s="38"/>
      <x:c r="X130" s="38"/>
      <x:c r="Y130" s="38"/>
      <x:c r="Z130" s="138"/>
      <x:c r="AA130" s="138"/>
      <x:c r="AB130" s="138"/>
      <x:c r="AC130" s="144"/>
      <x:c r="AD130" s="144"/>
      <x:c r="AE130" s="38"/>
      <x:c r="AF130" s="48" t="str">
        <x:f>IF(OR(G130="",I130="",J130&lt;&gt;""),"",IF(I130&lt;'요약'!$B$2,"만료",(YEAR(I130)-YEAR('요약'!$B$2))*12+MONTH(I130)-MONTH('요약'!$B$2)))</x:f>
      </x:c>
      <x:c r="AG130" s="48" t="str">
        <x:f>IF(G130="","",IF(AF130="만료","만료",IF(AF130=0,"이달",IF(AF130=1,"다음달",IF(AF130&lt;=3,"3개월 내","장기")))))</x:f>
      </x:c>
    </x:row>
    <x:row r="131" ht="18" customHeight="1">
      <x:c r="A131" s="41"/>
      <x:c r="B131" s="38"/>
      <x:c r="C131" s="38"/>
      <x:c r="D131" s="41"/>
      <x:c r="E131" s="41"/>
      <x:c r="F131" s="38"/>
      <x:c r="G131" s="38"/>
      <x:c r="H131" s="138"/>
      <x:c r="I131" s="138"/>
      <x:c r="J131" s="138"/>
      <x:c r="K131" s="144"/>
      <x:c r="L131" s="144"/>
      <x:c r="M131" s="38"/>
      <x:c r="N131" s="38"/>
      <x:c r="O131" s="38"/>
      <x:c r="P131" s="38"/>
      <x:c r="Q131" s="138"/>
      <x:c r="R131" s="138"/>
      <x:c r="S131" s="138"/>
      <x:c r="T131" s="144"/>
      <x:c r="U131" s="144"/>
      <x:c r="V131" s="38"/>
      <x:c r="W131" s="38"/>
      <x:c r="X131" s="38"/>
      <x:c r="Y131" s="38"/>
      <x:c r="Z131" s="138"/>
      <x:c r="AA131" s="138"/>
      <x:c r="AB131" s="138"/>
      <x:c r="AC131" s="144"/>
      <x:c r="AD131" s="144"/>
      <x:c r="AE131" s="38"/>
      <x:c r="AF131" s="48" t="str">
        <x:f>IF(OR(G131="",I131="",J131&lt;&gt;""),"",IF(I131&lt;'요약'!$B$2,"만료",(YEAR(I131)-YEAR('요약'!$B$2))*12+MONTH(I131)-MONTH('요약'!$B$2)))</x:f>
      </x:c>
      <x:c r="AG131" s="48" t="str">
        <x:f>IF(G131="","",IF(AF131="만료","만료",IF(AF131=0,"이달",IF(AF131=1,"다음달",IF(AF131&lt;=3,"3개월 내","장기")))))</x:f>
      </x:c>
    </x:row>
    <x:row r="132" ht="18" customHeight="1">
      <x:c r="A132" s="41"/>
      <x:c r="B132" s="38"/>
      <x:c r="C132" s="38"/>
      <x:c r="D132" s="41"/>
      <x:c r="E132" s="41"/>
      <x:c r="F132" s="38"/>
      <x:c r="G132" s="38"/>
      <x:c r="H132" s="138"/>
      <x:c r="I132" s="138"/>
      <x:c r="J132" s="138"/>
      <x:c r="K132" s="144"/>
      <x:c r="L132" s="144"/>
      <x:c r="M132" s="38"/>
      <x:c r="N132" s="38"/>
      <x:c r="O132" s="38"/>
      <x:c r="P132" s="38"/>
      <x:c r="Q132" s="138"/>
      <x:c r="R132" s="138"/>
      <x:c r="S132" s="138"/>
      <x:c r="T132" s="144"/>
      <x:c r="U132" s="144"/>
      <x:c r="V132" s="38"/>
      <x:c r="W132" s="38"/>
      <x:c r="X132" s="38"/>
      <x:c r="Y132" s="38"/>
      <x:c r="Z132" s="138"/>
      <x:c r="AA132" s="138"/>
      <x:c r="AB132" s="138"/>
      <x:c r="AC132" s="144"/>
      <x:c r="AD132" s="144"/>
      <x:c r="AE132" s="38"/>
      <x:c r="AF132" s="48" t="str">
        <x:f>IF(OR(G132="",I132="",J132&lt;&gt;""),"",IF(I132&lt;'요약'!$B$2,"만료",(YEAR(I132)-YEAR('요약'!$B$2))*12+MONTH(I132)-MONTH('요약'!$B$2)))</x:f>
      </x:c>
      <x:c r="AG132" s="48" t="str">
        <x:f>IF(G132="","",IF(AF132="만료","만료",IF(AF132=0,"이달",IF(AF132=1,"다음달",IF(AF132&lt;=3,"3개월 내","장기")))))</x:f>
      </x:c>
    </x:row>
    <x:row r="133" ht="18" customHeight="1">
      <x:c r="A133" s="41"/>
      <x:c r="B133" s="38"/>
      <x:c r="C133" s="38"/>
      <x:c r="D133" s="41"/>
      <x:c r="E133" s="41"/>
      <x:c r="F133" s="38"/>
      <x:c r="G133" s="38"/>
      <x:c r="H133" s="138"/>
      <x:c r="I133" s="138"/>
      <x:c r="J133" s="138"/>
      <x:c r="K133" s="144"/>
      <x:c r="L133" s="144"/>
      <x:c r="M133" s="38"/>
      <x:c r="N133" s="38"/>
      <x:c r="O133" s="38"/>
      <x:c r="P133" s="38"/>
      <x:c r="Q133" s="138"/>
      <x:c r="R133" s="138"/>
      <x:c r="S133" s="138"/>
      <x:c r="T133" s="144"/>
      <x:c r="U133" s="144"/>
      <x:c r="V133" s="38"/>
      <x:c r="W133" s="38"/>
      <x:c r="X133" s="38"/>
      <x:c r="Y133" s="38"/>
      <x:c r="Z133" s="138"/>
      <x:c r="AA133" s="138"/>
      <x:c r="AB133" s="138"/>
      <x:c r="AC133" s="144"/>
      <x:c r="AD133" s="144"/>
      <x:c r="AE133" s="38"/>
      <x:c r="AF133" s="48" t="str">
        <x:f>IF(OR(G133="",I133="",J133&lt;&gt;""),"",IF(I133&lt;'요약'!$B$2,"만료",(YEAR(I133)-YEAR('요약'!$B$2))*12+MONTH(I133)-MONTH('요약'!$B$2)))</x:f>
      </x:c>
      <x:c r="AG133" s="48" t="str">
        <x:f>IF(G133="","",IF(AF133="만료","만료",IF(AF133=0,"이달",IF(AF133=1,"다음달",IF(AF133&lt;=3,"3개월 내","장기")))))</x:f>
      </x:c>
    </x:row>
    <x:row r="134" ht="18" customHeight="1">
      <x:c r="A134" s="41"/>
      <x:c r="B134" s="38"/>
      <x:c r="C134" s="38"/>
      <x:c r="D134" s="41"/>
      <x:c r="E134" s="41"/>
      <x:c r="F134" s="38"/>
      <x:c r="G134" s="38"/>
      <x:c r="H134" s="138"/>
      <x:c r="I134" s="138"/>
      <x:c r="J134" s="138"/>
      <x:c r="K134" s="144"/>
      <x:c r="L134" s="144"/>
      <x:c r="M134" s="38"/>
      <x:c r="N134" s="38"/>
      <x:c r="O134" s="38"/>
      <x:c r="P134" s="38"/>
      <x:c r="Q134" s="138"/>
      <x:c r="R134" s="138"/>
      <x:c r="S134" s="138"/>
      <x:c r="T134" s="144"/>
      <x:c r="U134" s="144"/>
      <x:c r="V134" s="38"/>
      <x:c r="W134" s="38"/>
      <x:c r="X134" s="38"/>
      <x:c r="Y134" s="38"/>
      <x:c r="Z134" s="138"/>
      <x:c r="AA134" s="138"/>
      <x:c r="AB134" s="138"/>
      <x:c r="AC134" s="144"/>
      <x:c r="AD134" s="144"/>
      <x:c r="AE134" s="38"/>
      <x:c r="AF134" s="48" t="str">
        <x:f>IF(OR(G134="",I134="",J134&lt;&gt;""),"",IF(I134&lt;'요약'!$B$2,"만료",(YEAR(I134)-YEAR('요약'!$B$2))*12+MONTH(I134)-MONTH('요약'!$B$2)))</x:f>
      </x:c>
      <x:c r="AG134" s="48" t="str">
        <x:f>IF(G134="","",IF(AF134="만료","만료",IF(AF134=0,"이달",IF(AF134=1,"다음달",IF(AF134&lt;=3,"3개월 내","장기")))))</x:f>
      </x:c>
    </x:row>
    <x:row r="135" ht="18" customHeight="1">
      <x:c r="A135" s="41"/>
      <x:c r="B135" s="38"/>
      <x:c r="C135" s="38"/>
      <x:c r="D135" s="41"/>
      <x:c r="E135" s="41"/>
      <x:c r="F135" s="38"/>
      <x:c r="G135" s="38"/>
      <x:c r="H135" s="138"/>
      <x:c r="I135" s="138"/>
      <x:c r="J135" s="138"/>
      <x:c r="K135" s="144"/>
      <x:c r="L135" s="144"/>
      <x:c r="M135" s="38"/>
      <x:c r="N135" s="38"/>
      <x:c r="O135" s="38"/>
      <x:c r="P135" s="38"/>
      <x:c r="Q135" s="138"/>
      <x:c r="R135" s="138"/>
      <x:c r="S135" s="138"/>
      <x:c r="T135" s="144"/>
      <x:c r="U135" s="144"/>
      <x:c r="V135" s="38"/>
      <x:c r="W135" s="38"/>
      <x:c r="X135" s="38"/>
      <x:c r="Y135" s="38"/>
      <x:c r="Z135" s="138"/>
      <x:c r="AA135" s="138"/>
      <x:c r="AB135" s="138"/>
      <x:c r="AC135" s="144"/>
      <x:c r="AD135" s="144"/>
      <x:c r="AE135" s="38"/>
      <x:c r="AF135" s="48" t="str">
        <x:f>IF(OR(G135="",I135="",J135&lt;&gt;""),"",IF(I135&lt;'요약'!$B$2,"만료",(YEAR(I135)-YEAR('요약'!$B$2))*12+MONTH(I135)-MONTH('요약'!$B$2)))</x:f>
      </x:c>
      <x:c r="AG135" s="48" t="str">
        <x:f>IF(G135="","",IF(AF135="만료","만료",IF(AF135=0,"이달",IF(AF135=1,"다음달",IF(AF135&lt;=3,"3개월 내","장기")))))</x:f>
      </x:c>
    </x:row>
    <x:row r="136" ht="18" customHeight="1">
      <x:c r="A136" s="41"/>
      <x:c r="B136" s="38"/>
      <x:c r="C136" s="38"/>
      <x:c r="D136" s="41"/>
      <x:c r="E136" s="41"/>
      <x:c r="F136" s="38"/>
      <x:c r="G136" s="38"/>
      <x:c r="H136" s="138"/>
      <x:c r="I136" s="138"/>
      <x:c r="J136" s="138"/>
      <x:c r="K136" s="144"/>
      <x:c r="L136" s="144"/>
      <x:c r="M136" s="38"/>
      <x:c r="N136" s="38"/>
      <x:c r="O136" s="38"/>
      <x:c r="P136" s="38"/>
      <x:c r="Q136" s="138"/>
      <x:c r="R136" s="138"/>
      <x:c r="S136" s="138"/>
      <x:c r="T136" s="144"/>
      <x:c r="U136" s="144"/>
      <x:c r="V136" s="38"/>
      <x:c r="W136" s="38"/>
      <x:c r="X136" s="38"/>
      <x:c r="Y136" s="38"/>
      <x:c r="Z136" s="138"/>
      <x:c r="AA136" s="138"/>
      <x:c r="AB136" s="138"/>
      <x:c r="AC136" s="144"/>
      <x:c r="AD136" s="144"/>
      <x:c r="AE136" s="38"/>
      <x:c r="AF136" s="48" t="str">
        <x:f>IF(OR(G136="",I136="",J136&lt;&gt;""),"",IF(I136&lt;'요약'!$B$2,"만료",(YEAR(I136)-YEAR('요약'!$B$2))*12+MONTH(I136)-MONTH('요약'!$B$2)))</x:f>
      </x:c>
      <x:c r="AG136" s="48" t="str">
        <x:f>IF(G136="","",IF(AF136="만료","만료",IF(AF136=0,"이달",IF(AF136=1,"다음달",IF(AF136&lt;=3,"3개월 내","장기")))))</x:f>
      </x:c>
    </x:row>
    <x:row r="137" ht="18" customHeight="1">
      <x:c r="A137" s="41"/>
      <x:c r="B137" s="38"/>
      <x:c r="C137" s="38"/>
      <x:c r="D137" s="41"/>
      <x:c r="E137" s="41"/>
      <x:c r="F137" s="38"/>
      <x:c r="G137" s="38"/>
      <x:c r="H137" s="138"/>
      <x:c r="I137" s="138"/>
      <x:c r="J137" s="138"/>
      <x:c r="K137" s="144"/>
      <x:c r="L137" s="144"/>
      <x:c r="M137" s="38"/>
      <x:c r="N137" s="38"/>
      <x:c r="O137" s="38"/>
      <x:c r="P137" s="38"/>
      <x:c r="Q137" s="138"/>
      <x:c r="R137" s="138"/>
      <x:c r="S137" s="138"/>
      <x:c r="T137" s="144"/>
      <x:c r="U137" s="144"/>
      <x:c r="V137" s="38"/>
      <x:c r="W137" s="38"/>
      <x:c r="X137" s="38"/>
      <x:c r="Y137" s="38"/>
      <x:c r="Z137" s="138"/>
      <x:c r="AA137" s="138"/>
      <x:c r="AB137" s="138"/>
      <x:c r="AC137" s="144"/>
      <x:c r="AD137" s="144"/>
      <x:c r="AE137" s="38"/>
      <x:c r="AF137" s="48" t="str">
        <x:f>IF(OR(G137="",I137="",J137&lt;&gt;""),"",IF(I137&lt;'요약'!$B$2,"만료",(YEAR(I137)-YEAR('요약'!$B$2))*12+MONTH(I137)-MONTH('요약'!$B$2)))</x:f>
      </x:c>
      <x:c r="AG137" s="48" t="str">
        <x:f>IF(G137="","",IF(AF137="만료","만료",IF(AF137=0,"이달",IF(AF137=1,"다음달",IF(AF137&lt;=3,"3개월 내","장기")))))</x:f>
      </x:c>
    </x:row>
    <x:row r="138" ht="18" customHeight="1">
      <x:c r="A138" s="41"/>
      <x:c r="B138" s="38"/>
      <x:c r="C138" s="38"/>
      <x:c r="D138" s="41"/>
      <x:c r="E138" s="41"/>
      <x:c r="F138" s="38"/>
      <x:c r="G138" s="38"/>
      <x:c r="H138" s="138"/>
      <x:c r="I138" s="138"/>
      <x:c r="J138" s="138"/>
      <x:c r="K138" s="144"/>
      <x:c r="L138" s="144"/>
      <x:c r="M138" s="38"/>
      <x:c r="N138" s="38"/>
      <x:c r="O138" s="38"/>
      <x:c r="P138" s="38"/>
      <x:c r="Q138" s="138"/>
      <x:c r="R138" s="138"/>
      <x:c r="S138" s="138"/>
      <x:c r="T138" s="144"/>
      <x:c r="U138" s="144"/>
      <x:c r="V138" s="38"/>
      <x:c r="W138" s="38"/>
      <x:c r="X138" s="38"/>
      <x:c r="Y138" s="38"/>
      <x:c r="Z138" s="138"/>
      <x:c r="AA138" s="138"/>
      <x:c r="AB138" s="138"/>
      <x:c r="AC138" s="144"/>
      <x:c r="AD138" s="144"/>
      <x:c r="AE138" s="38"/>
      <x:c r="AF138" s="48" t="str">
        <x:f>IF(OR(G138="",I138="",J138&lt;&gt;""),"",IF(I138&lt;'요약'!$B$2,"만료",(YEAR(I138)-YEAR('요약'!$B$2))*12+MONTH(I138)-MONTH('요약'!$B$2)))</x:f>
      </x:c>
      <x:c r="AG138" s="48" t="str">
        <x:f>IF(G138="","",IF(AF138="만료","만료",IF(AF138=0,"이달",IF(AF138=1,"다음달",IF(AF138&lt;=3,"3개월 내","장기")))))</x:f>
      </x:c>
    </x:row>
    <x:row r="139" ht="18" customHeight="1">
      <x:c r="A139" s="41"/>
      <x:c r="B139" s="38"/>
      <x:c r="C139" s="38"/>
      <x:c r="D139" s="41"/>
      <x:c r="E139" s="41"/>
      <x:c r="F139" s="38"/>
      <x:c r="G139" s="38"/>
      <x:c r="H139" s="138"/>
      <x:c r="I139" s="138"/>
      <x:c r="J139" s="138"/>
      <x:c r="K139" s="144"/>
      <x:c r="L139" s="144"/>
      <x:c r="M139" s="38"/>
      <x:c r="N139" s="38"/>
      <x:c r="O139" s="38"/>
      <x:c r="P139" s="38"/>
      <x:c r="Q139" s="138"/>
      <x:c r="R139" s="138"/>
      <x:c r="S139" s="138"/>
      <x:c r="T139" s="144"/>
      <x:c r="U139" s="144"/>
      <x:c r="V139" s="38"/>
      <x:c r="W139" s="38"/>
      <x:c r="X139" s="38"/>
      <x:c r="Y139" s="38"/>
      <x:c r="Z139" s="138"/>
      <x:c r="AA139" s="138"/>
      <x:c r="AB139" s="138"/>
      <x:c r="AC139" s="144"/>
      <x:c r="AD139" s="144"/>
      <x:c r="AE139" s="38"/>
      <x:c r="AF139" s="48" t="str">
        <x:f>IF(OR(G139="",I139="",J139&lt;&gt;""),"",IF(I139&lt;'요약'!$B$2,"만료",(YEAR(I139)-YEAR('요약'!$B$2))*12+MONTH(I139)-MONTH('요약'!$B$2)))</x:f>
      </x:c>
      <x:c r="AG139" s="48" t="str">
        <x:f>IF(G139="","",IF(AF139="만료","만료",IF(AF139=0,"이달",IF(AF139=1,"다음달",IF(AF139&lt;=3,"3개월 내","장기")))))</x:f>
      </x:c>
    </x:row>
    <x:row r="140" ht="18" customHeight="1">
      <x:c r="A140" s="41"/>
      <x:c r="B140" s="38"/>
      <x:c r="C140" s="38"/>
      <x:c r="D140" s="41"/>
      <x:c r="E140" s="41"/>
      <x:c r="F140" s="38"/>
      <x:c r="G140" s="38"/>
      <x:c r="H140" s="138"/>
      <x:c r="I140" s="138"/>
      <x:c r="J140" s="138"/>
      <x:c r="K140" s="144"/>
      <x:c r="L140" s="144"/>
      <x:c r="M140" s="38"/>
      <x:c r="N140" s="38"/>
      <x:c r="O140" s="38"/>
      <x:c r="P140" s="38"/>
      <x:c r="Q140" s="138"/>
      <x:c r="R140" s="138"/>
      <x:c r="S140" s="138"/>
      <x:c r="T140" s="144"/>
      <x:c r="U140" s="144"/>
      <x:c r="V140" s="38"/>
      <x:c r="W140" s="38"/>
      <x:c r="X140" s="38"/>
      <x:c r="Y140" s="38"/>
      <x:c r="Z140" s="138"/>
      <x:c r="AA140" s="138"/>
      <x:c r="AB140" s="138"/>
      <x:c r="AC140" s="144"/>
      <x:c r="AD140" s="144"/>
      <x:c r="AE140" s="38"/>
      <x:c r="AF140" s="48" t="str">
        <x:f>IF(OR(G140="",I140="",J140&lt;&gt;""),"",IF(I140&lt;'요약'!$B$2,"만료",(YEAR(I140)-YEAR('요약'!$B$2))*12+MONTH(I140)-MONTH('요약'!$B$2)))</x:f>
      </x:c>
      <x:c r="AG140" s="48" t="str">
        <x:f>IF(G140="","",IF(AF140="만료","만료",IF(AF140=0,"이달",IF(AF140=1,"다음달",IF(AF140&lt;=3,"3개월 내","장기")))))</x:f>
      </x:c>
    </x:row>
    <x:row r="141" ht="18" customHeight="1">
      <x:c r="A141" s="41"/>
      <x:c r="B141" s="38"/>
      <x:c r="C141" s="38"/>
      <x:c r="D141" s="41"/>
      <x:c r="E141" s="41"/>
      <x:c r="F141" s="38"/>
      <x:c r="G141" s="38"/>
      <x:c r="H141" s="138"/>
      <x:c r="I141" s="138"/>
      <x:c r="J141" s="138"/>
      <x:c r="K141" s="144"/>
      <x:c r="L141" s="144"/>
      <x:c r="M141" s="38"/>
      <x:c r="N141" s="38"/>
      <x:c r="O141" s="38"/>
      <x:c r="P141" s="38"/>
      <x:c r="Q141" s="138"/>
      <x:c r="R141" s="138"/>
      <x:c r="S141" s="138"/>
      <x:c r="T141" s="144"/>
      <x:c r="U141" s="144"/>
      <x:c r="V141" s="38"/>
      <x:c r="W141" s="38"/>
      <x:c r="X141" s="38"/>
      <x:c r="Y141" s="38"/>
      <x:c r="Z141" s="138"/>
      <x:c r="AA141" s="138"/>
      <x:c r="AB141" s="138"/>
      <x:c r="AC141" s="144"/>
      <x:c r="AD141" s="144"/>
      <x:c r="AE141" s="38"/>
      <x:c r="AF141" s="48" t="str">
        <x:f>IF(OR(G141="",I141="",J141&lt;&gt;""),"",IF(I141&lt;'요약'!$B$2,"만료",(YEAR(I141)-YEAR('요약'!$B$2))*12+MONTH(I141)-MONTH('요약'!$B$2)))</x:f>
      </x:c>
      <x:c r="AG141" s="48" t="str">
        <x:f>IF(G141="","",IF(AF141="만료","만료",IF(AF141=0,"이달",IF(AF141=1,"다음달",IF(AF141&lt;=3,"3개월 내","장기")))))</x:f>
      </x:c>
    </x:row>
    <x:row r="142" ht="18" customHeight="1">
      <x:c r="A142" s="41"/>
      <x:c r="B142" s="38"/>
      <x:c r="C142" s="38"/>
      <x:c r="D142" s="41"/>
      <x:c r="E142" s="41"/>
      <x:c r="F142" s="38"/>
      <x:c r="G142" s="38"/>
      <x:c r="H142" s="138"/>
      <x:c r="I142" s="138"/>
      <x:c r="J142" s="138"/>
      <x:c r="K142" s="144"/>
      <x:c r="L142" s="144"/>
      <x:c r="M142" s="38"/>
      <x:c r="N142" s="38"/>
      <x:c r="O142" s="38"/>
      <x:c r="P142" s="38"/>
      <x:c r="Q142" s="138"/>
      <x:c r="R142" s="138"/>
      <x:c r="S142" s="138"/>
      <x:c r="T142" s="144"/>
      <x:c r="U142" s="144"/>
      <x:c r="V142" s="38"/>
      <x:c r="W142" s="38"/>
      <x:c r="X142" s="38"/>
      <x:c r="Y142" s="38"/>
      <x:c r="Z142" s="138"/>
      <x:c r="AA142" s="138"/>
      <x:c r="AB142" s="138"/>
      <x:c r="AC142" s="144"/>
      <x:c r="AD142" s="144"/>
      <x:c r="AE142" s="38"/>
      <x:c r="AF142" s="48" t="str">
        <x:f>IF(OR(G142="",I142="",J142&lt;&gt;""),"",IF(I142&lt;'요약'!$B$2,"만료",(YEAR(I142)-YEAR('요약'!$B$2))*12+MONTH(I142)-MONTH('요약'!$B$2)))</x:f>
      </x:c>
      <x:c r="AG142" s="48" t="str">
        <x:f>IF(G142="","",IF(AF142="만료","만료",IF(AF142=0,"이달",IF(AF142=1,"다음달",IF(AF142&lt;=3,"3개월 내","장기")))))</x:f>
      </x:c>
    </x:row>
    <x:row r="143" ht="18" customHeight="1">
      <x:c r="A143" s="41"/>
      <x:c r="B143" s="38"/>
      <x:c r="C143" s="38"/>
      <x:c r="D143" s="41"/>
      <x:c r="E143" s="41"/>
      <x:c r="F143" s="38"/>
      <x:c r="G143" s="38"/>
      <x:c r="H143" s="138"/>
      <x:c r="I143" s="138"/>
      <x:c r="J143" s="138"/>
      <x:c r="K143" s="144"/>
      <x:c r="L143" s="144"/>
      <x:c r="M143" s="38"/>
      <x:c r="N143" s="38"/>
      <x:c r="O143" s="38"/>
      <x:c r="P143" s="38"/>
      <x:c r="Q143" s="138"/>
      <x:c r="R143" s="138"/>
      <x:c r="S143" s="138"/>
      <x:c r="T143" s="144"/>
      <x:c r="U143" s="144"/>
      <x:c r="V143" s="38"/>
      <x:c r="W143" s="38"/>
      <x:c r="X143" s="38"/>
      <x:c r="Y143" s="38"/>
      <x:c r="Z143" s="138"/>
      <x:c r="AA143" s="138"/>
      <x:c r="AB143" s="138"/>
      <x:c r="AC143" s="144"/>
      <x:c r="AD143" s="144"/>
      <x:c r="AE143" s="38"/>
      <x:c r="AF143" s="48" t="str">
        <x:f>IF(OR(G143="",I143="",J143&lt;&gt;""),"",IF(I143&lt;'요약'!$B$2,"만료",(YEAR(I143)-YEAR('요약'!$B$2))*12+MONTH(I143)-MONTH('요약'!$B$2)))</x:f>
      </x:c>
      <x:c r="AG143" s="48" t="str">
        <x:f>IF(G143="","",IF(AF143="만료","만료",IF(AF143=0,"이달",IF(AF143=1,"다음달",IF(AF143&lt;=3,"3개월 내","장기")))))</x:f>
      </x:c>
    </x:row>
    <x:row r="144" ht="18" customHeight="1">
      <x:c r="A144" s="41"/>
      <x:c r="B144" s="38"/>
      <x:c r="C144" s="38"/>
      <x:c r="D144" s="41"/>
      <x:c r="E144" s="41"/>
      <x:c r="F144" s="38"/>
      <x:c r="G144" s="38"/>
      <x:c r="H144" s="138"/>
      <x:c r="I144" s="138"/>
      <x:c r="J144" s="138"/>
      <x:c r="K144" s="144"/>
      <x:c r="L144" s="144"/>
      <x:c r="M144" s="38"/>
      <x:c r="N144" s="38"/>
      <x:c r="O144" s="38"/>
      <x:c r="P144" s="38"/>
      <x:c r="Q144" s="138"/>
      <x:c r="R144" s="138"/>
      <x:c r="S144" s="138"/>
      <x:c r="T144" s="144"/>
      <x:c r="U144" s="144"/>
      <x:c r="V144" s="38"/>
      <x:c r="W144" s="38"/>
      <x:c r="X144" s="38"/>
      <x:c r="Y144" s="38"/>
      <x:c r="Z144" s="138"/>
      <x:c r="AA144" s="138"/>
      <x:c r="AB144" s="138"/>
      <x:c r="AC144" s="144"/>
      <x:c r="AD144" s="144"/>
      <x:c r="AE144" s="38"/>
      <x:c r="AF144" s="48" t="str">
        <x:f>IF(OR(G144="",I144="",J144&lt;&gt;""),"",IF(I144&lt;'요약'!$B$2,"만료",(YEAR(I144)-YEAR('요약'!$B$2))*12+MONTH(I144)-MONTH('요약'!$B$2)))</x:f>
      </x:c>
      <x:c r="AG144" s="48" t="str">
        <x:f>IF(G144="","",IF(AF144="만료","만료",IF(AF144=0,"이달",IF(AF144=1,"다음달",IF(AF144&lt;=3,"3개월 내","장기")))))</x:f>
      </x:c>
    </x:row>
    <x:row r="145" ht="18" customHeight="1">
      <x:c r="A145" s="41"/>
      <x:c r="B145" s="38"/>
      <x:c r="C145" s="38"/>
      <x:c r="D145" s="41"/>
      <x:c r="E145" s="41"/>
      <x:c r="F145" s="38"/>
      <x:c r="G145" s="38"/>
      <x:c r="H145" s="138"/>
      <x:c r="I145" s="138"/>
      <x:c r="J145" s="138"/>
      <x:c r="K145" s="144"/>
      <x:c r="L145" s="144"/>
      <x:c r="M145" s="38"/>
      <x:c r="N145" s="38"/>
      <x:c r="O145" s="38"/>
      <x:c r="P145" s="38"/>
      <x:c r="Q145" s="138"/>
      <x:c r="R145" s="138"/>
      <x:c r="S145" s="138"/>
      <x:c r="T145" s="144"/>
      <x:c r="U145" s="144"/>
      <x:c r="V145" s="38"/>
      <x:c r="W145" s="38"/>
      <x:c r="X145" s="38"/>
      <x:c r="Y145" s="38"/>
      <x:c r="Z145" s="138"/>
      <x:c r="AA145" s="138"/>
      <x:c r="AB145" s="138"/>
      <x:c r="AC145" s="144"/>
      <x:c r="AD145" s="144"/>
      <x:c r="AE145" s="38"/>
      <x:c r="AF145" s="48" t="str">
        <x:f>IF(OR(G145="",I145="",J145&lt;&gt;""),"",IF(I145&lt;'요약'!$B$2,"만료",(YEAR(I145)-YEAR('요약'!$B$2))*12+MONTH(I145)-MONTH('요약'!$B$2)))</x:f>
      </x:c>
      <x:c r="AG145" s="48" t="str">
        <x:f>IF(G145="","",IF(AF145="만료","만료",IF(AF145=0,"이달",IF(AF145=1,"다음달",IF(AF145&lt;=3,"3개월 내","장기")))))</x:f>
      </x:c>
    </x:row>
    <x:row r="146" ht="18" customHeight="1">
      <x:c r="A146" s="41"/>
      <x:c r="B146" s="38"/>
      <x:c r="C146" s="38"/>
      <x:c r="D146" s="41"/>
      <x:c r="E146" s="41"/>
      <x:c r="F146" s="38"/>
      <x:c r="G146" s="38"/>
      <x:c r="H146" s="138"/>
      <x:c r="I146" s="138"/>
      <x:c r="J146" s="138"/>
      <x:c r="K146" s="144"/>
      <x:c r="L146" s="144"/>
      <x:c r="M146" s="38"/>
      <x:c r="N146" s="38"/>
      <x:c r="O146" s="38"/>
      <x:c r="P146" s="38"/>
      <x:c r="Q146" s="138"/>
      <x:c r="R146" s="138"/>
      <x:c r="S146" s="138"/>
      <x:c r="T146" s="144"/>
      <x:c r="U146" s="144"/>
      <x:c r="V146" s="38"/>
      <x:c r="W146" s="38"/>
      <x:c r="X146" s="38"/>
      <x:c r="Y146" s="38"/>
      <x:c r="Z146" s="138"/>
      <x:c r="AA146" s="138"/>
      <x:c r="AB146" s="138"/>
      <x:c r="AC146" s="144"/>
      <x:c r="AD146" s="144"/>
      <x:c r="AE146" s="38"/>
      <x:c r="AF146" s="48" t="str">
        <x:f>IF(OR(G146="",I146="",J146&lt;&gt;""),"",IF(I146&lt;'요약'!$B$2,"만료",(YEAR(I146)-YEAR('요약'!$B$2))*12+MONTH(I146)-MONTH('요약'!$B$2)))</x:f>
      </x:c>
      <x:c r="AG146" s="48" t="str">
        <x:f>IF(G146="","",IF(AF146="만료","만료",IF(AF146=0,"이달",IF(AF146=1,"다음달",IF(AF146&lt;=3,"3개월 내","장기")))))</x:f>
      </x:c>
    </x:row>
    <x:row r="147" ht="18" customHeight="1">
      <x:c r="A147" s="41"/>
      <x:c r="B147" s="38"/>
      <x:c r="C147" s="38"/>
      <x:c r="D147" s="41"/>
      <x:c r="E147" s="41"/>
      <x:c r="F147" s="38"/>
      <x:c r="G147" s="38"/>
      <x:c r="H147" s="138"/>
      <x:c r="I147" s="138"/>
      <x:c r="J147" s="138"/>
      <x:c r="K147" s="144"/>
      <x:c r="L147" s="144"/>
      <x:c r="M147" s="38"/>
      <x:c r="N147" s="38"/>
      <x:c r="O147" s="38"/>
      <x:c r="P147" s="38"/>
      <x:c r="Q147" s="138"/>
      <x:c r="R147" s="138"/>
      <x:c r="S147" s="138"/>
      <x:c r="T147" s="144"/>
      <x:c r="U147" s="144"/>
      <x:c r="V147" s="38"/>
      <x:c r="W147" s="38"/>
      <x:c r="X147" s="38"/>
      <x:c r="Y147" s="38"/>
      <x:c r="Z147" s="138"/>
      <x:c r="AA147" s="138"/>
      <x:c r="AB147" s="138"/>
      <x:c r="AC147" s="144"/>
      <x:c r="AD147" s="144"/>
      <x:c r="AE147" s="38"/>
      <x:c r="AF147" s="48" t="str">
        <x:f>IF(OR(G147="",I147="",J147&lt;&gt;""),"",IF(I147&lt;'요약'!$B$2,"만료",(YEAR(I147)-YEAR('요약'!$B$2))*12+MONTH(I147)-MONTH('요약'!$B$2)))</x:f>
      </x:c>
      <x:c r="AG147" s="48" t="str">
        <x:f>IF(G147="","",IF(AF147="만료","만료",IF(AF147=0,"이달",IF(AF147=1,"다음달",IF(AF147&lt;=3,"3개월 내","장기")))))</x:f>
      </x:c>
    </x:row>
    <x:row r="148" ht="18" customHeight="1">
      <x:c r="A148" s="41"/>
      <x:c r="B148" s="38"/>
      <x:c r="C148" s="38"/>
      <x:c r="D148" s="41"/>
      <x:c r="E148" s="41"/>
      <x:c r="F148" s="38"/>
      <x:c r="G148" s="38"/>
      <x:c r="H148" s="138"/>
      <x:c r="I148" s="138"/>
      <x:c r="J148" s="138"/>
      <x:c r="K148" s="144"/>
      <x:c r="L148" s="144"/>
      <x:c r="M148" s="38"/>
      <x:c r="N148" s="38"/>
      <x:c r="O148" s="38"/>
      <x:c r="P148" s="38"/>
      <x:c r="Q148" s="138"/>
      <x:c r="R148" s="138"/>
      <x:c r="S148" s="138"/>
      <x:c r="T148" s="144"/>
      <x:c r="U148" s="144"/>
      <x:c r="V148" s="38"/>
      <x:c r="W148" s="38"/>
      <x:c r="X148" s="38"/>
      <x:c r="Y148" s="38"/>
      <x:c r="Z148" s="138"/>
      <x:c r="AA148" s="138"/>
      <x:c r="AB148" s="138"/>
      <x:c r="AC148" s="144"/>
      <x:c r="AD148" s="144"/>
      <x:c r="AE148" s="38"/>
      <x:c r="AF148" s="48" t="str">
        <x:f>IF(OR(G148="",I148="",J148&lt;&gt;""),"",IF(I148&lt;'요약'!$B$2,"만료",(YEAR(I148)-YEAR('요약'!$B$2))*12+MONTH(I148)-MONTH('요약'!$B$2)))</x:f>
      </x:c>
      <x:c r="AG148" s="48" t="str">
        <x:f>IF(G148="","",IF(AF148="만료","만료",IF(AF148=0,"이달",IF(AF148=1,"다음달",IF(AF148&lt;=3,"3개월 내","장기")))))</x:f>
      </x:c>
    </x:row>
    <x:row r="149" ht="18" customHeight="1">
      <x:c r="A149" s="41"/>
      <x:c r="B149" s="38"/>
      <x:c r="C149" s="38"/>
      <x:c r="D149" s="41"/>
      <x:c r="E149" s="41"/>
      <x:c r="F149" s="38"/>
      <x:c r="G149" s="38"/>
      <x:c r="H149" s="138"/>
      <x:c r="I149" s="138"/>
      <x:c r="J149" s="138"/>
      <x:c r="K149" s="144"/>
      <x:c r="L149" s="144"/>
      <x:c r="M149" s="38"/>
      <x:c r="N149" s="38"/>
      <x:c r="O149" s="38"/>
      <x:c r="P149" s="38"/>
      <x:c r="Q149" s="138"/>
      <x:c r="R149" s="138"/>
      <x:c r="S149" s="138"/>
      <x:c r="T149" s="144"/>
      <x:c r="U149" s="144"/>
      <x:c r="V149" s="38"/>
      <x:c r="W149" s="38"/>
      <x:c r="X149" s="38"/>
      <x:c r="Y149" s="38"/>
      <x:c r="Z149" s="138"/>
      <x:c r="AA149" s="138"/>
      <x:c r="AB149" s="138"/>
      <x:c r="AC149" s="144"/>
      <x:c r="AD149" s="144"/>
      <x:c r="AE149" s="38"/>
      <x:c r="AF149" s="48" t="str">
        <x:f>IF(OR(G149="",I149="",J149&lt;&gt;""),"",IF(I149&lt;'요약'!$B$2,"만료",(YEAR(I149)-YEAR('요약'!$B$2))*12+MONTH(I149)-MONTH('요약'!$B$2)))</x:f>
      </x:c>
      <x:c r="AG149" s="48" t="str">
        <x:f>IF(G149="","",IF(AF149="만료","만료",IF(AF149=0,"이달",IF(AF149=1,"다음달",IF(AF149&lt;=3,"3개월 내","장기")))))</x:f>
      </x:c>
    </x:row>
    <x:row r="150" ht="18" customHeight="1">
      <x:c r="A150" s="41"/>
      <x:c r="B150" s="38"/>
      <x:c r="C150" s="38"/>
      <x:c r="D150" s="41"/>
      <x:c r="E150" s="41"/>
      <x:c r="F150" s="38"/>
      <x:c r="G150" s="38"/>
      <x:c r="H150" s="138"/>
      <x:c r="I150" s="138"/>
      <x:c r="J150" s="138"/>
      <x:c r="K150" s="144"/>
      <x:c r="L150" s="144"/>
      <x:c r="M150" s="38"/>
      <x:c r="N150" s="38"/>
      <x:c r="O150" s="38"/>
      <x:c r="P150" s="38"/>
      <x:c r="Q150" s="138"/>
      <x:c r="R150" s="138"/>
      <x:c r="S150" s="138"/>
      <x:c r="T150" s="144"/>
      <x:c r="U150" s="144"/>
      <x:c r="V150" s="38"/>
      <x:c r="W150" s="38"/>
      <x:c r="X150" s="38"/>
      <x:c r="Y150" s="38"/>
      <x:c r="Z150" s="138"/>
      <x:c r="AA150" s="138"/>
      <x:c r="AB150" s="138"/>
      <x:c r="AC150" s="144"/>
      <x:c r="AD150" s="144"/>
      <x:c r="AE150" s="38"/>
      <x:c r="AF150" s="48" t="str">
        <x:f>IF(OR(G150="",I150="",J150&lt;&gt;""),"",IF(I150&lt;'요약'!$B$2,"만료",(YEAR(I150)-YEAR('요약'!$B$2))*12+MONTH(I150)-MONTH('요약'!$B$2)))</x:f>
      </x:c>
      <x:c r="AG150" s="48" t="str">
        <x:f>IF(G150="","",IF(AF150="만료","만료",IF(AF150=0,"이달",IF(AF150=1,"다음달",IF(AF150&lt;=3,"3개월 내","장기")))))</x:f>
      </x:c>
    </x:row>
    <x:row r="151" ht="18" customHeight="1">
      <x:c r="A151" s="41"/>
      <x:c r="B151" s="38"/>
      <x:c r="C151" s="38"/>
      <x:c r="D151" s="41"/>
      <x:c r="E151" s="41"/>
      <x:c r="F151" s="38"/>
      <x:c r="G151" s="38"/>
      <x:c r="H151" s="138"/>
      <x:c r="I151" s="138"/>
      <x:c r="J151" s="138"/>
      <x:c r="K151" s="144"/>
      <x:c r="L151" s="144"/>
      <x:c r="M151" s="38"/>
      <x:c r="N151" s="38"/>
      <x:c r="O151" s="38"/>
      <x:c r="P151" s="38"/>
      <x:c r="Q151" s="138"/>
      <x:c r="R151" s="138"/>
      <x:c r="S151" s="138"/>
      <x:c r="T151" s="144"/>
      <x:c r="U151" s="144"/>
      <x:c r="V151" s="38"/>
      <x:c r="W151" s="38"/>
      <x:c r="X151" s="38"/>
      <x:c r="Y151" s="38"/>
      <x:c r="Z151" s="138"/>
      <x:c r="AA151" s="138"/>
      <x:c r="AB151" s="138"/>
      <x:c r="AC151" s="144"/>
      <x:c r="AD151" s="144"/>
      <x:c r="AE151" s="38"/>
      <x:c r="AF151" s="48" t="str">
        <x:f>IF(OR(G151="",I151="",J151&lt;&gt;""),"",IF(I151&lt;'요약'!$B$2,"만료",(YEAR(I151)-YEAR('요약'!$B$2))*12+MONTH(I151)-MONTH('요약'!$B$2)))</x:f>
      </x:c>
      <x:c r="AG151" s="48" t="str">
        <x:f>IF(G151="","",IF(AF151="만료","만료",IF(AF151=0,"이달",IF(AF151=1,"다음달",IF(AF151&lt;=3,"3개월 내","장기")))))</x:f>
      </x:c>
    </x:row>
    <x:row r="152" ht="18" customHeight="1">
      <x:c r="A152" s="41"/>
      <x:c r="B152" s="38"/>
      <x:c r="C152" s="38"/>
      <x:c r="D152" s="41"/>
      <x:c r="E152" s="41"/>
      <x:c r="F152" s="38"/>
      <x:c r="G152" s="38"/>
      <x:c r="H152" s="138"/>
      <x:c r="I152" s="138"/>
      <x:c r="J152" s="138"/>
      <x:c r="K152" s="144"/>
      <x:c r="L152" s="144"/>
      <x:c r="M152" s="38"/>
      <x:c r="N152" s="38"/>
      <x:c r="O152" s="38"/>
      <x:c r="P152" s="38"/>
      <x:c r="Q152" s="138"/>
      <x:c r="R152" s="138"/>
      <x:c r="S152" s="138"/>
      <x:c r="T152" s="144"/>
      <x:c r="U152" s="144"/>
      <x:c r="V152" s="38"/>
      <x:c r="W152" s="38"/>
      <x:c r="X152" s="38"/>
      <x:c r="Y152" s="38"/>
      <x:c r="Z152" s="138"/>
      <x:c r="AA152" s="138"/>
      <x:c r="AB152" s="138"/>
      <x:c r="AC152" s="144"/>
      <x:c r="AD152" s="144"/>
      <x:c r="AE152" s="38"/>
      <x:c r="AF152" s="48" t="str">
        <x:f>IF(OR(G152="",I152="",J152&lt;&gt;""),"",IF(I152&lt;'요약'!$B$2,"만료",(YEAR(I152)-YEAR('요약'!$B$2))*12+MONTH(I152)-MONTH('요약'!$B$2)))</x:f>
      </x:c>
      <x:c r="AG152" s="48" t="str">
        <x:f>IF(G152="","",IF(AF152="만료","만료",IF(AF152=0,"이달",IF(AF152=1,"다음달",IF(AF152&lt;=3,"3개월 내","장기")))))</x:f>
      </x:c>
    </x:row>
    <x:row r="153" ht="18" customHeight="1">
      <x:c r="A153" s="41"/>
      <x:c r="B153" s="38"/>
      <x:c r="C153" s="38"/>
      <x:c r="D153" s="41"/>
      <x:c r="E153" s="41"/>
      <x:c r="F153" s="38"/>
      <x:c r="G153" s="38"/>
      <x:c r="H153" s="138"/>
      <x:c r="I153" s="138"/>
      <x:c r="J153" s="138"/>
      <x:c r="K153" s="144"/>
      <x:c r="L153" s="144"/>
      <x:c r="M153" s="38"/>
      <x:c r="N153" s="38"/>
      <x:c r="O153" s="38"/>
      <x:c r="P153" s="38"/>
      <x:c r="Q153" s="138"/>
      <x:c r="R153" s="138"/>
      <x:c r="S153" s="138"/>
      <x:c r="T153" s="144"/>
      <x:c r="U153" s="144"/>
      <x:c r="V153" s="38"/>
      <x:c r="W153" s="38"/>
      <x:c r="X153" s="38"/>
      <x:c r="Y153" s="38"/>
      <x:c r="Z153" s="138"/>
      <x:c r="AA153" s="138"/>
      <x:c r="AB153" s="138"/>
      <x:c r="AC153" s="144"/>
      <x:c r="AD153" s="144"/>
      <x:c r="AE153" s="38"/>
      <x:c r="AF153" s="48" t="str">
        <x:f>IF(OR(G153="",I153="",J153&lt;&gt;""),"",IF(I153&lt;'요약'!$B$2,"만료",(YEAR(I153)-YEAR('요약'!$B$2))*12+MONTH(I153)-MONTH('요약'!$B$2)))</x:f>
      </x:c>
      <x:c r="AG153" s="48" t="str">
        <x:f>IF(G153="","",IF(AF153="만료","만료",IF(AF153=0,"이달",IF(AF153=1,"다음달",IF(AF153&lt;=3,"3개월 내","장기")))))</x:f>
      </x:c>
    </x:row>
    <x:row r="154" ht="18" customHeight="1">
      <x:c r="A154" s="41"/>
      <x:c r="B154" s="38"/>
      <x:c r="C154" s="38"/>
      <x:c r="D154" s="41"/>
      <x:c r="E154" s="41"/>
      <x:c r="F154" s="38"/>
      <x:c r="G154" s="38"/>
      <x:c r="H154" s="138"/>
      <x:c r="I154" s="138"/>
      <x:c r="J154" s="138"/>
      <x:c r="K154" s="144"/>
      <x:c r="L154" s="144"/>
      <x:c r="M154" s="38"/>
      <x:c r="N154" s="38"/>
      <x:c r="O154" s="38"/>
      <x:c r="P154" s="38"/>
      <x:c r="Q154" s="138"/>
      <x:c r="R154" s="138"/>
      <x:c r="S154" s="138"/>
      <x:c r="T154" s="144"/>
      <x:c r="U154" s="144"/>
      <x:c r="V154" s="38"/>
      <x:c r="W154" s="38"/>
      <x:c r="X154" s="38"/>
      <x:c r="Y154" s="38"/>
      <x:c r="Z154" s="138"/>
      <x:c r="AA154" s="138"/>
      <x:c r="AB154" s="138"/>
      <x:c r="AC154" s="144"/>
      <x:c r="AD154" s="144"/>
      <x:c r="AE154" s="38"/>
      <x:c r="AF154" s="48" t="str">
        <x:f>IF(OR(G154="",I154="",J154&lt;&gt;""),"",IF(I154&lt;'요약'!$B$2,"만료",(YEAR(I154)-YEAR('요약'!$B$2))*12+MONTH(I154)-MONTH('요약'!$B$2)))</x:f>
      </x:c>
      <x:c r="AG154" s="48" t="str">
        <x:f>IF(G154="","",IF(AF154="만료","만료",IF(AF154=0,"이달",IF(AF154=1,"다음달",IF(AF154&lt;=3,"3개월 내","장기")))))</x:f>
      </x:c>
    </x:row>
    <x:row r="155" ht="18" customHeight="1">
      <x:c r="A155" s="41"/>
      <x:c r="B155" s="38"/>
      <x:c r="C155" s="38"/>
      <x:c r="D155" s="41"/>
      <x:c r="E155" s="41"/>
      <x:c r="F155" s="38"/>
      <x:c r="G155" s="38"/>
      <x:c r="H155" s="138"/>
      <x:c r="I155" s="138"/>
      <x:c r="J155" s="138"/>
      <x:c r="K155" s="144"/>
      <x:c r="L155" s="144"/>
      <x:c r="M155" s="38"/>
      <x:c r="N155" s="38"/>
      <x:c r="O155" s="38"/>
      <x:c r="P155" s="38"/>
      <x:c r="Q155" s="138"/>
      <x:c r="R155" s="138"/>
      <x:c r="S155" s="138"/>
      <x:c r="T155" s="144"/>
      <x:c r="U155" s="144"/>
      <x:c r="V155" s="38"/>
      <x:c r="W155" s="38"/>
      <x:c r="X155" s="38"/>
      <x:c r="Y155" s="38"/>
      <x:c r="Z155" s="138"/>
      <x:c r="AA155" s="138"/>
      <x:c r="AB155" s="138"/>
      <x:c r="AC155" s="144"/>
      <x:c r="AD155" s="144"/>
      <x:c r="AE155" s="38"/>
      <x:c r="AF155" s="48" t="str">
        <x:f>IF(OR(G155="",I155="",J155&lt;&gt;""),"",IF(I155&lt;'요약'!$B$2,"만료",(YEAR(I155)-YEAR('요약'!$B$2))*12+MONTH(I155)-MONTH('요약'!$B$2)))</x:f>
      </x:c>
      <x:c r="AG155" s="48" t="str">
        <x:f>IF(G155="","",IF(AF155="만료","만료",IF(AF155=0,"이달",IF(AF155=1,"다음달",IF(AF155&lt;=3,"3개월 내","장기")))))</x:f>
      </x:c>
    </x:row>
    <x:row r="156" ht="18" customHeight="1">
      <x:c r="A156" s="41"/>
      <x:c r="B156" s="38"/>
      <x:c r="C156" s="38"/>
      <x:c r="D156" s="41"/>
      <x:c r="E156" s="41"/>
      <x:c r="F156" s="38"/>
      <x:c r="G156" s="38"/>
      <x:c r="H156" s="138"/>
      <x:c r="I156" s="138"/>
      <x:c r="J156" s="138"/>
      <x:c r="K156" s="144"/>
      <x:c r="L156" s="144"/>
      <x:c r="M156" s="38"/>
      <x:c r="N156" s="38"/>
      <x:c r="O156" s="38"/>
      <x:c r="P156" s="38"/>
      <x:c r="Q156" s="138"/>
      <x:c r="R156" s="138"/>
      <x:c r="S156" s="138"/>
      <x:c r="T156" s="144"/>
      <x:c r="U156" s="144"/>
      <x:c r="V156" s="38"/>
      <x:c r="W156" s="38"/>
      <x:c r="X156" s="38"/>
      <x:c r="Y156" s="38"/>
      <x:c r="Z156" s="138"/>
      <x:c r="AA156" s="138"/>
      <x:c r="AB156" s="138"/>
      <x:c r="AC156" s="144"/>
      <x:c r="AD156" s="144"/>
      <x:c r="AE156" s="38"/>
      <x:c r="AF156" s="48" t="str">
        <x:f>IF(OR(G156="",I156="",J156&lt;&gt;""),"",IF(I156&lt;'요약'!$B$2,"만료",(YEAR(I156)-YEAR('요약'!$B$2))*12+MONTH(I156)-MONTH('요약'!$B$2)))</x:f>
      </x:c>
      <x:c r="AG156" s="48" t="str">
        <x:f>IF(G156="","",IF(AF156="만료","만료",IF(AF156=0,"이달",IF(AF156=1,"다음달",IF(AF156&lt;=3,"3개월 내","장기")))))</x:f>
      </x:c>
    </x:row>
    <x:row r="157" ht="18" customHeight="1">
      <x:c r="A157" s="41"/>
      <x:c r="B157" s="38"/>
      <x:c r="C157" s="38"/>
      <x:c r="D157" s="41"/>
      <x:c r="E157" s="41"/>
      <x:c r="F157" s="38"/>
      <x:c r="G157" s="38"/>
      <x:c r="H157" s="138"/>
      <x:c r="I157" s="138"/>
      <x:c r="J157" s="138"/>
      <x:c r="K157" s="144"/>
      <x:c r="L157" s="144"/>
      <x:c r="M157" s="38"/>
      <x:c r="N157" s="38"/>
      <x:c r="O157" s="38"/>
      <x:c r="P157" s="38"/>
      <x:c r="Q157" s="138"/>
      <x:c r="R157" s="138"/>
      <x:c r="S157" s="138"/>
      <x:c r="T157" s="144"/>
      <x:c r="U157" s="144"/>
      <x:c r="V157" s="38"/>
      <x:c r="W157" s="38"/>
      <x:c r="X157" s="38"/>
      <x:c r="Y157" s="38"/>
      <x:c r="Z157" s="138"/>
      <x:c r="AA157" s="138"/>
      <x:c r="AB157" s="138"/>
      <x:c r="AC157" s="144"/>
      <x:c r="AD157" s="144"/>
      <x:c r="AE157" s="38"/>
      <x:c r="AF157" s="48" t="str">
        <x:f>IF(OR(G157="",I157="",J157&lt;&gt;""),"",IF(I157&lt;'요약'!$B$2,"만료",(YEAR(I157)-YEAR('요약'!$B$2))*12+MONTH(I157)-MONTH('요약'!$B$2)))</x:f>
      </x:c>
      <x:c r="AG157" s="48" t="str">
        <x:f>IF(G157="","",IF(AF157="만료","만료",IF(AF157=0,"이달",IF(AF157=1,"다음달",IF(AF157&lt;=3,"3개월 내","장기")))))</x:f>
      </x:c>
    </x:row>
    <x:row r="158" ht="18" customHeight="1">
      <x:c r="A158" s="41"/>
      <x:c r="B158" s="38"/>
      <x:c r="C158" s="38"/>
      <x:c r="D158" s="41"/>
      <x:c r="E158" s="41"/>
      <x:c r="F158" s="38"/>
      <x:c r="G158" s="38"/>
      <x:c r="H158" s="138"/>
      <x:c r="I158" s="138"/>
      <x:c r="J158" s="138"/>
      <x:c r="K158" s="144"/>
      <x:c r="L158" s="144"/>
      <x:c r="M158" s="38"/>
      <x:c r="N158" s="38"/>
      <x:c r="O158" s="38"/>
      <x:c r="P158" s="38"/>
      <x:c r="Q158" s="138"/>
      <x:c r="R158" s="138"/>
      <x:c r="S158" s="138"/>
      <x:c r="T158" s="144"/>
      <x:c r="U158" s="144"/>
      <x:c r="V158" s="38"/>
      <x:c r="W158" s="38"/>
      <x:c r="X158" s="38"/>
      <x:c r="Y158" s="38"/>
      <x:c r="Z158" s="138"/>
      <x:c r="AA158" s="138"/>
      <x:c r="AB158" s="138"/>
      <x:c r="AC158" s="144"/>
      <x:c r="AD158" s="144"/>
      <x:c r="AE158" s="38"/>
      <x:c r="AF158" s="48" t="str">
        <x:f>IF(OR(G158="",I158="",J158&lt;&gt;""),"",IF(I158&lt;'요약'!$B$2,"만료",(YEAR(I158)-YEAR('요약'!$B$2))*12+MONTH(I158)-MONTH('요약'!$B$2)))</x:f>
      </x:c>
      <x:c r="AG158" s="48" t="str">
        <x:f>IF(G158="","",IF(AF158="만료","만료",IF(AF158=0,"이달",IF(AF158=1,"다음달",IF(AF158&lt;=3,"3개월 내","장기")))))</x:f>
      </x:c>
    </x:row>
    <x:row r="159" ht="18" customHeight="1">
      <x:c r="A159" s="41"/>
      <x:c r="B159" s="38"/>
      <x:c r="C159" s="38"/>
      <x:c r="D159" s="41"/>
      <x:c r="E159" s="41"/>
      <x:c r="F159" s="38"/>
      <x:c r="G159" s="38"/>
      <x:c r="H159" s="138"/>
      <x:c r="I159" s="138"/>
      <x:c r="J159" s="138"/>
      <x:c r="K159" s="144"/>
      <x:c r="L159" s="144"/>
      <x:c r="M159" s="38"/>
      <x:c r="N159" s="38"/>
      <x:c r="O159" s="38"/>
      <x:c r="P159" s="38"/>
      <x:c r="Q159" s="138"/>
      <x:c r="R159" s="138"/>
      <x:c r="S159" s="138"/>
      <x:c r="T159" s="144"/>
      <x:c r="U159" s="144"/>
      <x:c r="V159" s="38"/>
      <x:c r="W159" s="38"/>
      <x:c r="X159" s="38"/>
      <x:c r="Y159" s="38"/>
      <x:c r="Z159" s="138"/>
      <x:c r="AA159" s="138"/>
      <x:c r="AB159" s="138"/>
      <x:c r="AC159" s="144"/>
      <x:c r="AD159" s="144"/>
      <x:c r="AE159" s="38"/>
      <x:c r="AF159" s="48" t="str">
        <x:f>IF(OR(G159="",I159="",J159&lt;&gt;""),"",IF(I159&lt;'요약'!$B$2,"만료",(YEAR(I159)-YEAR('요약'!$B$2))*12+MONTH(I159)-MONTH('요약'!$B$2)))</x:f>
      </x:c>
      <x:c r="AG159" s="48" t="str">
        <x:f>IF(G159="","",IF(AF159="만료","만료",IF(AF159=0,"이달",IF(AF159=1,"다음달",IF(AF159&lt;=3,"3개월 내","장기")))))</x:f>
      </x:c>
    </x:row>
    <x:row r="160" ht="18" customHeight="1">
      <x:c r="A160" s="41"/>
      <x:c r="B160" s="38"/>
      <x:c r="C160" s="38"/>
      <x:c r="D160" s="41"/>
      <x:c r="E160" s="41"/>
      <x:c r="F160" s="38"/>
      <x:c r="G160" s="38"/>
      <x:c r="H160" s="138"/>
      <x:c r="I160" s="138"/>
      <x:c r="J160" s="138"/>
      <x:c r="K160" s="144"/>
      <x:c r="L160" s="144"/>
      <x:c r="M160" s="38"/>
      <x:c r="N160" s="38"/>
      <x:c r="O160" s="38"/>
      <x:c r="P160" s="38"/>
      <x:c r="Q160" s="138"/>
      <x:c r="R160" s="138"/>
      <x:c r="S160" s="138"/>
      <x:c r="T160" s="144"/>
      <x:c r="U160" s="144"/>
      <x:c r="V160" s="38"/>
      <x:c r="W160" s="38"/>
      <x:c r="X160" s="38"/>
      <x:c r="Y160" s="38"/>
      <x:c r="Z160" s="138"/>
      <x:c r="AA160" s="138"/>
      <x:c r="AB160" s="138"/>
      <x:c r="AC160" s="144"/>
      <x:c r="AD160" s="144"/>
      <x:c r="AE160" s="38"/>
      <x:c r="AF160" s="48" t="str">
        <x:f>IF(OR(G160="",I160="",J160&lt;&gt;""),"",IF(I160&lt;'요약'!$B$2,"만료",(YEAR(I160)-YEAR('요약'!$B$2))*12+MONTH(I160)-MONTH('요약'!$B$2)))</x:f>
      </x:c>
      <x:c r="AG160" s="48" t="str">
        <x:f>IF(G160="","",IF(AF160="만료","만료",IF(AF160=0,"이달",IF(AF160=1,"다음달",IF(AF160&lt;=3,"3개월 내","장기")))))</x:f>
      </x:c>
    </x:row>
    <x:row r="161" ht="18" customHeight="1">
      <x:c r="A161" s="41"/>
      <x:c r="B161" s="38"/>
      <x:c r="C161" s="38"/>
      <x:c r="D161" s="41"/>
      <x:c r="E161" s="41"/>
      <x:c r="F161" s="38"/>
      <x:c r="G161" s="38"/>
      <x:c r="H161" s="138"/>
      <x:c r="I161" s="138"/>
      <x:c r="J161" s="138"/>
      <x:c r="K161" s="144"/>
      <x:c r="L161" s="144"/>
      <x:c r="M161" s="38"/>
      <x:c r="N161" s="38"/>
      <x:c r="O161" s="38"/>
      <x:c r="P161" s="38"/>
      <x:c r="Q161" s="138"/>
      <x:c r="R161" s="138"/>
      <x:c r="S161" s="138"/>
      <x:c r="T161" s="144"/>
      <x:c r="U161" s="144"/>
      <x:c r="V161" s="38"/>
      <x:c r="W161" s="38"/>
      <x:c r="X161" s="38"/>
      <x:c r="Y161" s="38"/>
      <x:c r="Z161" s="138"/>
      <x:c r="AA161" s="138"/>
      <x:c r="AB161" s="138"/>
      <x:c r="AC161" s="144"/>
      <x:c r="AD161" s="144"/>
      <x:c r="AE161" s="38"/>
      <x:c r="AF161" s="48" t="str">
        <x:f>IF(OR(G161="",I161="",J161&lt;&gt;""),"",IF(I161&lt;'요약'!$B$2,"만료",(YEAR(I161)-YEAR('요약'!$B$2))*12+MONTH(I161)-MONTH('요약'!$B$2)))</x:f>
      </x:c>
      <x:c r="AG161" s="48" t="str">
        <x:f>IF(G161="","",IF(AF161="만료","만료",IF(AF161=0,"이달",IF(AF161=1,"다음달",IF(AF161&lt;=3,"3개월 내","장기")))))</x:f>
      </x:c>
    </x:row>
    <x:row r="162" ht="18" customHeight="1">
      <x:c r="A162" s="41"/>
      <x:c r="B162" s="38"/>
      <x:c r="C162" s="38"/>
      <x:c r="D162" s="41"/>
      <x:c r="E162" s="41"/>
      <x:c r="F162" s="38"/>
      <x:c r="G162" s="38"/>
      <x:c r="H162" s="138"/>
      <x:c r="I162" s="138"/>
      <x:c r="J162" s="138"/>
      <x:c r="K162" s="144"/>
      <x:c r="L162" s="144"/>
      <x:c r="M162" s="38"/>
      <x:c r="N162" s="38"/>
      <x:c r="O162" s="38"/>
      <x:c r="P162" s="38"/>
      <x:c r="Q162" s="138"/>
      <x:c r="R162" s="138"/>
      <x:c r="S162" s="138"/>
      <x:c r="T162" s="144"/>
      <x:c r="U162" s="144"/>
      <x:c r="V162" s="38"/>
      <x:c r="W162" s="38"/>
      <x:c r="X162" s="38"/>
      <x:c r="Y162" s="38"/>
      <x:c r="Z162" s="138"/>
      <x:c r="AA162" s="138"/>
      <x:c r="AB162" s="138"/>
      <x:c r="AC162" s="144"/>
      <x:c r="AD162" s="144"/>
      <x:c r="AE162" s="38"/>
      <x:c r="AF162" s="48" t="str">
        <x:f>IF(OR(G162="",I162="",J162&lt;&gt;""),"",IF(I162&lt;'요약'!$B$2,"만료",(YEAR(I162)-YEAR('요약'!$B$2))*12+MONTH(I162)-MONTH('요약'!$B$2)))</x:f>
      </x:c>
      <x:c r="AG162" s="48" t="str">
        <x:f>IF(G162="","",IF(AF162="만료","만료",IF(AF162=0,"이달",IF(AF162=1,"다음달",IF(AF162&lt;=3,"3개월 내","장기")))))</x:f>
      </x:c>
    </x:row>
    <x:row r="163" ht="18" customHeight="1">
      <x:c r="A163" s="41"/>
      <x:c r="B163" s="38"/>
      <x:c r="C163" s="38"/>
      <x:c r="D163" s="41"/>
      <x:c r="E163" s="41"/>
      <x:c r="F163" s="38"/>
      <x:c r="G163" s="38"/>
      <x:c r="H163" s="138"/>
      <x:c r="I163" s="138"/>
      <x:c r="J163" s="138"/>
      <x:c r="K163" s="144"/>
      <x:c r="L163" s="144"/>
      <x:c r="M163" s="38"/>
      <x:c r="N163" s="38"/>
      <x:c r="O163" s="38"/>
      <x:c r="P163" s="38"/>
      <x:c r="Q163" s="138"/>
      <x:c r="R163" s="138"/>
      <x:c r="S163" s="138"/>
      <x:c r="T163" s="144"/>
      <x:c r="U163" s="144"/>
      <x:c r="V163" s="38"/>
      <x:c r="W163" s="38"/>
      <x:c r="X163" s="38"/>
      <x:c r="Y163" s="38"/>
      <x:c r="Z163" s="138"/>
      <x:c r="AA163" s="138"/>
      <x:c r="AB163" s="138"/>
      <x:c r="AC163" s="144"/>
      <x:c r="AD163" s="144"/>
      <x:c r="AE163" s="38"/>
      <x:c r="AF163" s="48" t="str">
        <x:f>IF(OR(G163="",I163="",J163&lt;&gt;""),"",IF(I163&lt;'요약'!$B$2,"만료",(YEAR(I163)-YEAR('요약'!$B$2))*12+MONTH(I163)-MONTH('요약'!$B$2)))</x:f>
      </x:c>
      <x:c r="AG163" s="48" t="str">
        <x:f>IF(G163="","",IF(AF163="만료","만료",IF(AF163=0,"이달",IF(AF163=1,"다음달",IF(AF163&lt;=3,"3개월 내","장기")))))</x:f>
      </x:c>
    </x:row>
    <x:row r="164" ht="18" customHeight="1">
      <x:c r="A164" s="41"/>
      <x:c r="B164" s="38"/>
      <x:c r="C164" s="38"/>
      <x:c r="D164" s="41"/>
      <x:c r="E164" s="41"/>
      <x:c r="F164" s="38"/>
      <x:c r="G164" s="38"/>
      <x:c r="H164" s="138"/>
      <x:c r="I164" s="138"/>
      <x:c r="J164" s="138"/>
      <x:c r="K164" s="144"/>
      <x:c r="L164" s="144"/>
      <x:c r="M164" s="38"/>
      <x:c r="N164" s="38"/>
      <x:c r="O164" s="38"/>
      <x:c r="P164" s="38"/>
      <x:c r="Q164" s="138"/>
      <x:c r="R164" s="138"/>
      <x:c r="S164" s="138"/>
      <x:c r="T164" s="144"/>
      <x:c r="U164" s="144"/>
      <x:c r="V164" s="38"/>
      <x:c r="W164" s="38"/>
      <x:c r="X164" s="38"/>
      <x:c r="Y164" s="38"/>
      <x:c r="Z164" s="138"/>
      <x:c r="AA164" s="138"/>
      <x:c r="AB164" s="138"/>
      <x:c r="AC164" s="144"/>
      <x:c r="AD164" s="144"/>
      <x:c r="AE164" s="38"/>
      <x:c r="AF164" s="48" t="str">
        <x:f>IF(OR(G164="",I164="",J164&lt;&gt;""),"",IF(I164&lt;'요약'!$B$2,"만료",(YEAR(I164)-YEAR('요약'!$B$2))*12+MONTH(I164)-MONTH('요약'!$B$2)))</x:f>
      </x:c>
      <x:c r="AG164" s="48" t="str">
        <x:f>IF(G164="","",IF(AF164="만료","만료",IF(AF164=0,"이달",IF(AF164=1,"다음달",IF(AF164&lt;=3,"3개월 내","장기")))))</x:f>
      </x:c>
    </x:row>
    <x:row r="165" ht="18" customHeight="1">
      <x:c r="A165" s="41"/>
      <x:c r="B165" s="38"/>
      <x:c r="C165" s="38"/>
      <x:c r="D165" s="41"/>
      <x:c r="E165" s="41"/>
      <x:c r="F165" s="38"/>
      <x:c r="G165" s="38"/>
      <x:c r="H165" s="138"/>
      <x:c r="I165" s="138"/>
      <x:c r="J165" s="138"/>
      <x:c r="K165" s="144"/>
      <x:c r="L165" s="144"/>
      <x:c r="M165" s="38"/>
      <x:c r="N165" s="38"/>
      <x:c r="O165" s="38"/>
      <x:c r="P165" s="38"/>
      <x:c r="Q165" s="138"/>
      <x:c r="R165" s="138"/>
      <x:c r="S165" s="138"/>
      <x:c r="T165" s="144"/>
      <x:c r="U165" s="144"/>
      <x:c r="V165" s="38"/>
      <x:c r="W165" s="38"/>
      <x:c r="X165" s="38"/>
      <x:c r="Y165" s="38"/>
      <x:c r="Z165" s="138"/>
      <x:c r="AA165" s="138"/>
      <x:c r="AB165" s="138"/>
      <x:c r="AC165" s="144"/>
      <x:c r="AD165" s="144"/>
      <x:c r="AE165" s="38"/>
      <x:c r="AF165" s="48" t="str">
        <x:f>IF(OR(G165="",I165="",J165&lt;&gt;""),"",IF(I165&lt;'요약'!$B$2,"만료",(YEAR(I165)-YEAR('요약'!$B$2))*12+MONTH(I165)-MONTH('요약'!$B$2)))</x:f>
      </x:c>
      <x:c r="AG165" s="48" t="str">
        <x:f>IF(G165="","",IF(AF165="만료","만료",IF(AF165=0,"이달",IF(AF165=1,"다음달",IF(AF165&lt;=3,"3개월 내","장기")))))</x:f>
      </x:c>
    </x:row>
    <x:row r="166" ht="18" customHeight="1">
      <x:c r="A166" s="41"/>
      <x:c r="B166" s="38"/>
      <x:c r="C166" s="38"/>
      <x:c r="D166" s="41"/>
      <x:c r="E166" s="41"/>
      <x:c r="F166" s="38"/>
      <x:c r="G166" s="38"/>
      <x:c r="H166" s="138"/>
      <x:c r="I166" s="138"/>
      <x:c r="J166" s="138"/>
      <x:c r="K166" s="144"/>
      <x:c r="L166" s="144"/>
      <x:c r="M166" s="38"/>
      <x:c r="N166" s="38"/>
      <x:c r="O166" s="38"/>
      <x:c r="P166" s="38"/>
      <x:c r="Q166" s="138"/>
      <x:c r="R166" s="138"/>
      <x:c r="S166" s="138"/>
      <x:c r="T166" s="144"/>
      <x:c r="U166" s="144"/>
      <x:c r="V166" s="38"/>
      <x:c r="W166" s="38"/>
      <x:c r="X166" s="38"/>
      <x:c r="Y166" s="38"/>
      <x:c r="Z166" s="138"/>
      <x:c r="AA166" s="138"/>
      <x:c r="AB166" s="138"/>
      <x:c r="AC166" s="144"/>
      <x:c r="AD166" s="144"/>
      <x:c r="AE166" s="38"/>
      <x:c r="AF166" s="48" t="str">
        <x:f>IF(OR(G166="",I166="",J166&lt;&gt;""),"",IF(I166&lt;'요약'!$B$2,"만료",(YEAR(I166)-YEAR('요약'!$B$2))*12+MONTH(I166)-MONTH('요약'!$B$2)))</x:f>
      </x:c>
      <x:c r="AG166" s="48" t="str">
        <x:f>IF(G166="","",IF(AF166="만료","만료",IF(AF166=0,"이달",IF(AF166=1,"다음달",IF(AF166&lt;=3,"3개월 내","장기")))))</x:f>
      </x:c>
    </x:row>
    <x:row r="167" ht="18" customHeight="1">
      <x:c r="A167" s="41"/>
      <x:c r="B167" s="38"/>
      <x:c r="C167" s="38"/>
      <x:c r="D167" s="41"/>
      <x:c r="E167" s="41"/>
      <x:c r="F167" s="38"/>
      <x:c r="G167" s="38"/>
      <x:c r="H167" s="138"/>
      <x:c r="I167" s="138"/>
      <x:c r="J167" s="138"/>
      <x:c r="K167" s="144"/>
      <x:c r="L167" s="144"/>
      <x:c r="M167" s="38"/>
      <x:c r="N167" s="38"/>
      <x:c r="O167" s="38"/>
      <x:c r="P167" s="38"/>
      <x:c r="Q167" s="138"/>
      <x:c r="R167" s="138"/>
      <x:c r="S167" s="138"/>
      <x:c r="T167" s="144"/>
      <x:c r="U167" s="144"/>
      <x:c r="V167" s="38"/>
      <x:c r="W167" s="38"/>
      <x:c r="X167" s="38"/>
      <x:c r="Y167" s="38"/>
      <x:c r="Z167" s="138"/>
      <x:c r="AA167" s="138"/>
      <x:c r="AB167" s="138"/>
      <x:c r="AC167" s="144"/>
      <x:c r="AD167" s="144"/>
      <x:c r="AE167" s="38"/>
      <x:c r="AF167" s="48" t="str">
        <x:f>IF(OR(G167="",I167="",J167&lt;&gt;""),"",IF(I167&lt;'요약'!$B$2,"만료",(YEAR(I167)-YEAR('요약'!$B$2))*12+MONTH(I167)-MONTH('요약'!$B$2)))</x:f>
      </x:c>
      <x:c r="AG167" s="48" t="str">
        <x:f>IF(G167="","",IF(AF167="만료","만료",IF(AF167=0,"이달",IF(AF167=1,"다음달",IF(AF167&lt;=3,"3개월 내","장기")))))</x:f>
      </x:c>
    </x:row>
    <x:row r="168" ht="18" customHeight="1">
      <x:c r="A168" s="41"/>
      <x:c r="B168" s="38"/>
      <x:c r="C168" s="38"/>
      <x:c r="D168" s="41"/>
      <x:c r="E168" s="41"/>
      <x:c r="F168" s="38"/>
      <x:c r="G168" s="38"/>
      <x:c r="H168" s="138"/>
      <x:c r="I168" s="138"/>
      <x:c r="J168" s="138"/>
      <x:c r="K168" s="144"/>
      <x:c r="L168" s="144"/>
      <x:c r="M168" s="38"/>
      <x:c r="N168" s="38"/>
      <x:c r="O168" s="38"/>
      <x:c r="P168" s="38"/>
      <x:c r="Q168" s="138"/>
      <x:c r="R168" s="138"/>
      <x:c r="S168" s="138"/>
      <x:c r="T168" s="144"/>
      <x:c r="U168" s="144"/>
      <x:c r="V168" s="38"/>
      <x:c r="W168" s="38"/>
      <x:c r="X168" s="38"/>
      <x:c r="Y168" s="38"/>
      <x:c r="Z168" s="138"/>
      <x:c r="AA168" s="138"/>
      <x:c r="AB168" s="138"/>
      <x:c r="AC168" s="144"/>
      <x:c r="AD168" s="144"/>
      <x:c r="AE168" s="38"/>
      <x:c r="AF168" s="48" t="str">
        <x:f>IF(OR(G168="",I168="",J168&lt;&gt;""),"",IF(I168&lt;'요약'!$B$2,"만료",(YEAR(I168)-YEAR('요약'!$B$2))*12+MONTH(I168)-MONTH('요약'!$B$2)))</x:f>
      </x:c>
      <x:c r="AG168" s="48" t="str">
        <x:f>IF(G168="","",IF(AF168="만료","만료",IF(AF168=0,"이달",IF(AF168=1,"다음달",IF(AF168&lt;=3,"3개월 내","장기")))))</x:f>
      </x:c>
    </x:row>
    <x:row r="169" ht="18" customHeight="1">
      <x:c r="A169" s="41"/>
      <x:c r="B169" s="38"/>
      <x:c r="C169" s="38"/>
      <x:c r="D169" s="41"/>
      <x:c r="E169" s="41"/>
      <x:c r="F169" s="38"/>
      <x:c r="G169" s="38"/>
      <x:c r="H169" s="138"/>
      <x:c r="I169" s="138"/>
      <x:c r="J169" s="138"/>
      <x:c r="K169" s="144"/>
      <x:c r="L169" s="144"/>
      <x:c r="M169" s="38"/>
      <x:c r="N169" s="38"/>
      <x:c r="O169" s="38"/>
      <x:c r="P169" s="38"/>
      <x:c r="Q169" s="138"/>
      <x:c r="R169" s="138"/>
      <x:c r="S169" s="138"/>
      <x:c r="T169" s="144"/>
      <x:c r="U169" s="144"/>
      <x:c r="V169" s="38"/>
      <x:c r="W169" s="38"/>
      <x:c r="X169" s="38"/>
      <x:c r="Y169" s="38"/>
      <x:c r="Z169" s="138"/>
      <x:c r="AA169" s="138"/>
      <x:c r="AB169" s="138"/>
      <x:c r="AC169" s="144"/>
      <x:c r="AD169" s="144"/>
      <x:c r="AE169" s="38"/>
      <x:c r="AF169" s="48" t="str">
        <x:f>IF(OR(G169="",I169="",J169&lt;&gt;""),"",IF(I169&lt;'요약'!$B$2,"만료",(YEAR(I169)-YEAR('요약'!$B$2))*12+MONTH(I169)-MONTH('요약'!$B$2)))</x:f>
      </x:c>
      <x:c r="AG169" s="48" t="str">
        <x:f>IF(G169="","",IF(AF169="만료","만료",IF(AF169=0,"이달",IF(AF169=1,"다음달",IF(AF169&lt;=3,"3개월 내","장기")))))</x:f>
      </x:c>
    </x:row>
    <x:row r="170" ht="18" customHeight="1">
      <x:c r="A170" s="41"/>
      <x:c r="B170" s="38"/>
      <x:c r="C170" s="38"/>
      <x:c r="D170" s="41"/>
      <x:c r="E170" s="41"/>
      <x:c r="F170" s="38"/>
      <x:c r="G170" s="38"/>
      <x:c r="H170" s="138"/>
      <x:c r="I170" s="138"/>
      <x:c r="J170" s="138"/>
      <x:c r="K170" s="144"/>
      <x:c r="L170" s="144"/>
      <x:c r="M170" s="38"/>
      <x:c r="N170" s="38"/>
      <x:c r="O170" s="38"/>
      <x:c r="P170" s="38"/>
      <x:c r="Q170" s="138"/>
      <x:c r="R170" s="138"/>
      <x:c r="S170" s="138"/>
      <x:c r="T170" s="144"/>
      <x:c r="U170" s="144"/>
      <x:c r="V170" s="38"/>
      <x:c r="W170" s="38"/>
      <x:c r="X170" s="38"/>
      <x:c r="Y170" s="38"/>
      <x:c r="Z170" s="138"/>
      <x:c r="AA170" s="138"/>
      <x:c r="AB170" s="138"/>
      <x:c r="AC170" s="144"/>
      <x:c r="AD170" s="144"/>
      <x:c r="AE170" s="38"/>
      <x:c r="AF170" s="48" t="str">
        <x:f>IF(OR(G170="",I170="",J170&lt;&gt;""),"",IF(I170&lt;'요약'!$B$2,"만료",(YEAR(I170)-YEAR('요약'!$B$2))*12+MONTH(I170)-MONTH('요약'!$B$2)))</x:f>
      </x:c>
      <x:c r="AG170" s="48" t="str">
        <x:f>IF(G170="","",IF(AF170="만료","만료",IF(AF170=0,"이달",IF(AF170=1,"다음달",IF(AF170&lt;=3,"3개월 내","장기")))))</x:f>
      </x:c>
    </x:row>
    <x:row r="171" ht="18" customHeight="1">
      <x:c r="A171" s="41"/>
      <x:c r="B171" s="38"/>
      <x:c r="C171" s="38"/>
      <x:c r="D171" s="41"/>
      <x:c r="E171" s="41"/>
      <x:c r="F171" s="38"/>
      <x:c r="G171" s="38"/>
      <x:c r="H171" s="138"/>
      <x:c r="I171" s="138"/>
      <x:c r="J171" s="138"/>
      <x:c r="K171" s="144"/>
      <x:c r="L171" s="144"/>
      <x:c r="M171" s="38"/>
      <x:c r="N171" s="38"/>
      <x:c r="O171" s="38"/>
      <x:c r="P171" s="38"/>
      <x:c r="Q171" s="138"/>
      <x:c r="R171" s="138"/>
      <x:c r="S171" s="138"/>
      <x:c r="T171" s="144"/>
      <x:c r="U171" s="144"/>
      <x:c r="V171" s="38"/>
      <x:c r="W171" s="38"/>
      <x:c r="X171" s="38"/>
      <x:c r="Y171" s="38"/>
      <x:c r="Z171" s="138"/>
      <x:c r="AA171" s="138"/>
      <x:c r="AB171" s="138"/>
      <x:c r="AC171" s="144"/>
      <x:c r="AD171" s="144"/>
      <x:c r="AE171" s="38"/>
      <x:c r="AF171" s="48" t="str">
        <x:f>IF(OR(G171="",I171="",J171&lt;&gt;""),"",IF(I171&lt;'요약'!$B$2,"만료",(YEAR(I171)-YEAR('요약'!$B$2))*12+MONTH(I171)-MONTH('요약'!$B$2)))</x:f>
      </x:c>
      <x:c r="AG171" s="48" t="str">
        <x:f>IF(G171="","",IF(AF171="만료","만료",IF(AF171=0,"이달",IF(AF171=1,"다음달",IF(AF171&lt;=3,"3개월 내","장기")))))</x:f>
      </x:c>
    </x:row>
    <x:row r="172" ht="18" customHeight="1">
      <x:c r="A172" s="41"/>
      <x:c r="B172" s="38"/>
      <x:c r="C172" s="38"/>
      <x:c r="D172" s="41"/>
      <x:c r="E172" s="41"/>
      <x:c r="F172" s="38"/>
      <x:c r="G172" s="38"/>
      <x:c r="H172" s="138"/>
      <x:c r="I172" s="138"/>
      <x:c r="J172" s="138"/>
      <x:c r="K172" s="144"/>
      <x:c r="L172" s="144"/>
      <x:c r="M172" s="38"/>
      <x:c r="N172" s="38"/>
      <x:c r="O172" s="38"/>
      <x:c r="P172" s="38"/>
      <x:c r="Q172" s="138"/>
      <x:c r="R172" s="138"/>
      <x:c r="S172" s="138"/>
      <x:c r="T172" s="144"/>
      <x:c r="U172" s="144"/>
      <x:c r="V172" s="38"/>
      <x:c r="W172" s="38"/>
      <x:c r="X172" s="38"/>
      <x:c r="Y172" s="38"/>
      <x:c r="Z172" s="138"/>
      <x:c r="AA172" s="138"/>
      <x:c r="AB172" s="138"/>
      <x:c r="AC172" s="144"/>
      <x:c r="AD172" s="144"/>
      <x:c r="AE172" s="38"/>
      <x:c r="AF172" s="48" t="str">
        <x:f>IF(OR(G172="",I172="",J172&lt;&gt;""),"",IF(I172&lt;'요약'!$B$2,"만료",(YEAR(I172)-YEAR('요약'!$B$2))*12+MONTH(I172)-MONTH('요약'!$B$2)))</x:f>
      </x:c>
      <x:c r="AG172" s="48" t="str">
        <x:f>IF(G172="","",IF(AF172="만료","만료",IF(AF172=0,"이달",IF(AF172=1,"다음달",IF(AF172&lt;=3,"3개월 내","장기")))))</x:f>
      </x:c>
    </x:row>
    <x:row r="173" ht="18" customHeight="1">
      <x:c r="A173" s="41"/>
      <x:c r="B173" s="38"/>
      <x:c r="C173" s="38"/>
      <x:c r="D173" s="41"/>
      <x:c r="E173" s="41"/>
      <x:c r="F173" s="38"/>
      <x:c r="G173" s="38"/>
      <x:c r="H173" s="138"/>
      <x:c r="I173" s="138"/>
      <x:c r="J173" s="138"/>
      <x:c r="K173" s="144"/>
      <x:c r="L173" s="144"/>
      <x:c r="M173" s="38"/>
      <x:c r="N173" s="38"/>
      <x:c r="O173" s="38"/>
      <x:c r="P173" s="38"/>
      <x:c r="Q173" s="138"/>
      <x:c r="R173" s="138"/>
      <x:c r="S173" s="138"/>
      <x:c r="T173" s="144"/>
      <x:c r="U173" s="144"/>
      <x:c r="V173" s="38"/>
      <x:c r="W173" s="38"/>
      <x:c r="X173" s="38"/>
      <x:c r="Y173" s="38"/>
      <x:c r="Z173" s="138"/>
      <x:c r="AA173" s="138"/>
      <x:c r="AB173" s="138"/>
      <x:c r="AC173" s="144"/>
      <x:c r="AD173" s="144"/>
      <x:c r="AE173" s="38"/>
      <x:c r="AF173" s="48" t="str">
        <x:f>IF(OR(G173="",I173="",J173&lt;&gt;""),"",IF(I173&lt;'요약'!$B$2,"만료",(YEAR(I173)-YEAR('요약'!$B$2))*12+MONTH(I173)-MONTH('요약'!$B$2)))</x:f>
      </x:c>
      <x:c r="AG173" s="48" t="str">
        <x:f>IF(G173="","",IF(AF173="만료","만료",IF(AF173=0,"이달",IF(AF173=1,"다음달",IF(AF173&lt;=3,"3개월 내","장기")))))</x:f>
      </x:c>
    </x:row>
    <x:row r="174" ht="18" customHeight="1">
      <x:c r="A174" s="41"/>
      <x:c r="B174" s="38"/>
      <x:c r="C174" s="38"/>
      <x:c r="D174" s="41"/>
      <x:c r="E174" s="41"/>
      <x:c r="F174" s="38"/>
      <x:c r="G174" s="38"/>
      <x:c r="H174" s="138"/>
      <x:c r="I174" s="138"/>
      <x:c r="J174" s="138"/>
      <x:c r="K174" s="144"/>
      <x:c r="L174" s="144"/>
      <x:c r="M174" s="38"/>
      <x:c r="N174" s="38"/>
      <x:c r="O174" s="38"/>
      <x:c r="P174" s="38"/>
      <x:c r="Q174" s="138"/>
      <x:c r="R174" s="138"/>
      <x:c r="S174" s="138"/>
      <x:c r="T174" s="144"/>
      <x:c r="U174" s="144"/>
      <x:c r="V174" s="38"/>
      <x:c r="W174" s="38"/>
      <x:c r="X174" s="38"/>
      <x:c r="Y174" s="38"/>
      <x:c r="Z174" s="138"/>
      <x:c r="AA174" s="138"/>
      <x:c r="AB174" s="138"/>
      <x:c r="AC174" s="144"/>
      <x:c r="AD174" s="144"/>
      <x:c r="AE174" s="38"/>
      <x:c r="AF174" s="48" t="str">
        <x:f>IF(OR(G174="",I174="",J174&lt;&gt;""),"",IF(I174&lt;'요약'!$B$2,"만료",(YEAR(I174)-YEAR('요약'!$B$2))*12+MONTH(I174)-MONTH('요약'!$B$2)))</x:f>
      </x:c>
      <x:c r="AG174" s="48" t="str">
        <x:f>IF(G174="","",IF(AF174="만료","만료",IF(AF174=0,"이달",IF(AF174=1,"다음달",IF(AF174&lt;=3,"3개월 내","장기")))))</x:f>
      </x:c>
    </x:row>
    <x:row r="175" ht="18" customHeight="1">
      <x:c r="A175" s="41"/>
      <x:c r="B175" s="38"/>
      <x:c r="C175" s="38"/>
      <x:c r="D175" s="41"/>
      <x:c r="E175" s="41"/>
      <x:c r="F175" s="38"/>
      <x:c r="G175" s="38"/>
      <x:c r="H175" s="138"/>
      <x:c r="I175" s="138"/>
      <x:c r="J175" s="138"/>
      <x:c r="K175" s="144"/>
      <x:c r="L175" s="144"/>
      <x:c r="M175" s="38"/>
      <x:c r="N175" s="38"/>
      <x:c r="O175" s="38"/>
      <x:c r="P175" s="38"/>
      <x:c r="Q175" s="138"/>
      <x:c r="R175" s="138"/>
      <x:c r="S175" s="138"/>
      <x:c r="T175" s="144"/>
      <x:c r="U175" s="144"/>
      <x:c r="V175" s="38"/>
      <x:c r="W175" s="38"/>
      <x:c r="X175" s="38"/>
      <x:c r="Y175" s="38"/>
      <x:c r="Z175" s="138"/>
      <x:c r="AA175" s="138"/>
      <x:c r="AB175" s="138"/>
      <x:c r="AC175" s="144"/>
      <x:c r="AD175" s="144"/>
      <x:c r="AE175" s="38"/>
      <x:c r="AF175" s="48" t="str">
        <x:f>IF(OR(G175="",I175="",J175&lt;&gt;""),"",IF(I175&lt;'요약'!$B$2,"만료",(YEAR(I175)-YEAR('요약'!$B$2))*12+MONTH(I175)-MONTH('요약'!$B$2)))</x:f>
      </x:c>
      <x:c r="AG175" s="48" t="str">
        <x:f>IF(G175="","",IF(AF175="만료","만료",IF(AF175=0,"이달",IF(AF175=1,"다음달",IF(AF175&lt;=3,"3개월 내","장기")))))</x:f>
      </x:c>
    </x:row>
    <x:row r="176" ht="18" customHeight="1">
      <x:c r="A176" s="41"/>
      <x:c r="B176" s="38"/>
      <x:c r="C176" s="38"/>
      <x:c r="D176" s="41"/>
      <x:c r="E176" s="41"/>
      <x:c r="F176" s="38"/>
      <x:c r="G176" s="38"/>
      <x:c r="H176" s="138"/>
      <x:c r="I176" s="138"/>
      <x:c r="J176" s="138"/>
      <x:c r="K176" s="144"/>
      <x:c r="L176" s="144"/>
      <x:c r="M176" s="38"/>
      <x:c r="N176" s="38"/>
      <x:c r="O176" s="38"/>
      <x:c r="P176" s="38"/>
      <x:c r="Q176" s="138"/>
      <x:c r="R176" s="138"/>
      <x:c r="S176" s="138"/>
      <x:c r="T176" s="144"/>
      <x:c r="U176" s="144"/>
      <x:c r="V176" s="38"/>
      <x:c r="W176" s="38"/>
      <x:c r="X176" s="38"/>
      <x:c r="Y176" s="38"/>
      <x:c r="Z176" s="138"/>
      <x:c r="AA176" s="138"/>
      <x:c r="AB176" s="138"/>
      <x:c r="AC176" s="144"/>
      <x:c r="AD176" s="144"/>
      <x:c r="AE176" s="38"/>
      <x:c r="AF176" s="48" t="str">
        <x:f>IF(OR(G176="",I176="",J176&lt;&gt;""),"",IF(I176&lt;'요약'!$B$2,"만료",(YEAR(I176)-YEAR('요약'!$B$2))*12+MONTH(I176)-MONTH('요약'!$B$2)))</x:f>
      </x:c>
      <x:c r="AG176" s="48" t="str">
        <x:f>IF(G176="","",IF(AF176="만료","만료",IF(AF176=0,"이달",IF(AF176=1,"다음달",IF(AF176&lt;=3,"3개월 내","장기")))))</x:f>
      </x:c>
    </x:row>
    <x:row r="177" ht="18" customHeight="1">
      <x:c r="A177" s="41"/>
      <x:c r="B177" s="38"/>
      <x:c r="C177" s="38"/>
      <x:c r="D177" s="41"/>
      <x:c r="E177" s="41"/>
      <x:c r="F177" s="38"/>
      <x:c r="G177" s="38"/>
      <x:c r="H177" s="138"/>
      <x:c r="I177" s="138"/>
      <x:c r="J177" s="138"/>
      <x:c r="K177" s="144"/>
      <x:c r="L177" s="144"/>
      <x:c r="M177" s="38"/>
      <x:c r="N177" s="38"/>
      <x:c r="O177" s="38"/>
      <x:c r="P177" s="38"/>
      <x:c r="Q177" s="138"/>
      <x:c r="R177" s="138"/>
      <x:c r="S177" s="138"/>
      <x:c r="T177" s="144"/>
      <x:c r="U177" s="144"/>
      <x:c r="V177" s="38"/>
      <x:c r="W177" s="38"/>
      <x:c r="X177" s="38"/>
      <x:c r="Y177" s="38"/>
      <x:c r="Z177" s="138"/>
      <x:c r="AA177" s="138"/>
      <x:c r="AB177" s="138"/>
      <x:c r="AC177" s="144"/>
      <x:c r="AD177" s="144"/>
      <x:c r="AE177" s="38"/>
      <x:c r="AF177" s="48" t="str">
        <x:f>IF(OR(G177="",I177="",J177&lt;&gt;""),"",IF(I177&lt;'요약'!$B$2,"만료",(YEAR(I177)-YEAR('요약'!$B$2))*12+MONTH(I177)-MONTH('요약'!$B$2)))</x:f>
      </x:c>
      <x:c r="AG177" s="48" t="str">
        <x:f>IF(G177="","",IF(AF177="만료","만료",IF(AF177=0,"이달",IF(AF177=1,"다음달",IF(AF177&lt;=3,"3개월 내","장기")))))</x:f>
      </x:c>
    </x:row>
    <x:row r="178" ht="18" customHeight="1">
      <x:c r="A178" s="41"/>
      <x:c r="B178" s="38"/>
      <x:c r="C178" s="38"/>
      <x:c r="D178" s="41"/>
      <x:c r="E178" s="41"/>
      <x:c r="F178" s="38"/>
      <x:c r="G178" s="38"/>
      <x:c r="H178" s="138"/>
      <x:c r="I178" s="138"/>
      <x:c r="J178" s="138"/>
      <x:c r="K178" s="144"/>
      <x:c r="L178" s="144"/>
      <x:c r="M178" s="38"/>
      <x:c r="N178" s="38"/>
      <x:c r="O178" s="38"/>
      <x:c r="P178" s="38"/>
      <x:c r="Q178" s="138"/>
      <x:c r="R178" s="138"/>
      <x:c r="S178" s="138"/>
      <x:c r="T178" s="144"/>
      <x:c r="U178" s="144"/>
      <x:c r="V178" s="38"/>
      <x:c r="W178" s="38"/>
      <x:c r="X178" s="38"/>
      <x:c r="Y178" s="38"/>
      <x:c r="Z178" s="138"/>
      <x:c r="AA178" s="138"/>
      <x:c r="AB178" s="138"/>
      <x:c r="AC178" s="144"/>
      <x:c r="AD178" s="144"/>
      <x:c r="AE178" s="38"/>
      <x:c r="AF178" s="48" t="str">
        <x:f>IF(OR(G178="",I178="",J178&lt;&gt;""),"",IF(I178&lt;'요약'!$B$2,"만료",(YEAR(I178)-YEAR('요약'!$B$2))*12+MONTH(I178)-MONTH('요약'!$B$2)))</x:f>
      </x:c>
      <x:c r="AG178" s="48" t="str">
        <x:f>IF(G178="","",IF(AF178="만료","만료",IF(AF178=0,"이달",IF(AF178=1,"다음달",IF(AF178&lt;=3,"3개월 내","장기")))))</x:f>
      </x:c>
    </x:row>
    <x:row r="179" ht="18" customHeight="1">
      <x:c r="A179" s="41"/>
      <x:c r="B179" s="38"/>
      <x:c r="C179" s="38"/>
      <x:c r="D179" s="41"/>
      <x:c r="E179" s="41"/>
      <x:c r="F179" s="38"/>
      <x:c r="G179" s="38"/>
      <x:c r="H179" s="138"/>
      <x:c r="I179" s="138"/>
      <x:c r="J179" s="138"/>
      <x:c r="K179" s="144"/>
      <x:c r="L179" s="144"/>
      <x:c r="M179" s="38"/>
      <x:c r="N179" s="38"/>
      <x:c r="O179" s="38"/>
      <x:c r="P179" s="38"/>
      <x:c r="Q179" s="138"/>
      <x:c r="R179" s="138"/>
      <x:c r="S179" s="138"/>
      <x:c r="T179" s="144"/>
      <x:c r="U179" s="144"/>
      <x:c r="V179" s="38"/>
      <x:c r="W179" s="38"/>
      <x:c r="X179" s="38"/>
      <x:c r="Y179" s="38"/>
      <x:c r="Z179" s="138"/>
      <x:c r="AA179" s="138"/>
      <x:c r="AB179" s="138"/>
      <x:c r="AC179" s="144"/>
      <x:c r="AD179" s="144"/>
      <x:c r="AE179" s="38"/>
      <x:c r="AF179" s="48" t="str">
        <x:f>IF(OR(G179="",I179="",J179&lt;&gt;""),"",IF(I179&lt;'요약'!$B$2,"만료",(YEAR(I179)-YEAR('요약'!$B$2))*12+MONTH(I179)-MONTH('요약'!$B$2)))</x:f>
      </x:c>
      <x:c r="AG179" s="48" t="str">
        <x:f>IF(G179="","",IF(AF179="만료","만료",IF(AF179=0,"이달",IF(AF179=1,"다음달",IF(AF179&lt;=3,"3개월 내","장기")))))</x:f>
      </x:c>
    </x:row>
    <x:row r="180" ht="18" customHeight="1">
      <x:c r="A180" s="41"/>
      <x:c r="B180" s="38"/>
      <x:c r="C180" s="38"/>
      <x:c r="D180" s="41"/>
      <x:c r="E180" s="41"/>
      <x:c r="F180" s="38"/>
      <x:c r="G180" s="38"/>
      <x:c r="H180" s="138"/>
      <x:c r="I180" s="138"/>
      <x:c r="J180" s="138"/>
      <x:c r="K180" s="144"/>
      <x:c r="L180" s="144"/>
      <x:c r="M180" s="38"/>
      <x:c r="N180" s="38"/>
      <x:c r="O180" s="38"/>
      <x:c r="P180" s="38"/>
      <x:c r="Q180" s="138"/>
      <x:c r="R180" s="138"/>
      <x:c r="S180" s="138"/>
      <x:c r="T180" s="144"/>
      <x:c r="U180" s="144"/>
      <x:c r="V180" s="38"/>
      <x:c r="W180" s="38"/>
      <x:c r="X180" s="38"/>
      <x:c r="Y180" s="38"/>
      <x:c r="Z180" s="138"/>
      <x:c r="AA180" s="138"/>
      <x:c r="AB180" s="138"/>
      <x:c r="AC180" s="144"/>
      <x:c r="AD180" s="144"/>
      <x:c r="AE180" s="38"/>
      <x:c r="AF180" s="48" t="str">
        <x:f>IF(OR(G180="",I180="",J180&lt;&gt;""),"",IF(I180&lt;'요약'!$B$2,"만료",(YEAR(I180)-YEAR('요약'!$B$2))*12+MONTH(I180)-MONTH('요약'!$B$2)))</x:f>
      </x:c>
      <x:c r="AG180" s="48" t="str">
        <x:f>IF(G180="","",IF(AF180="만료","만료",IF(AF180=0,"이달",IF(AF180=1,"다음달",IF(AF180&lt;=3,"3개월 내","장기")))))</x:f>
      </x:c>
    </x:row>
    <x:row r="181" ht="18" customHeight="1">
      <x:c r="A181" s="41"/>
      <x:c r="B181" s="38"/>
      <x:c r="C181" s="38"/>
      <x:c r="D181" s="41"/>
      <x:c r="E181" s="41"/>
      <x:c r="F181" s="38"/>
      <x:c r="G181" s="38"/>
      <x:c r="H181" s="138"/>
      <x:c r="I181" s="138"/>
      <x:c r="J181" s="138"/>
      <x:c r="K181" s="144"/>
      <x:c r="L181" s="144"/>
      <x:c r="M181" s="38"/>
      <x:c r="N181" s="38"/>
      <x:c r="O181" s="38"/>
      <x:c r="P181" s="38"/>
      <x:c r="Q181" s="138"/>
      <x:c r="R181" s="138"/>
      <x:c r="S181" s="138"/>
      <x:c r="T181" s="144"/>
      <x:c r="U181" s="144"/>
      <x:c r="V181" s="38"/>
      <x:c r="W181" s="38"/>
      <x:c r="X181" s="38"/>
      <x:c r="Y181" s="38"/>
      <x:c r="Z181" s="138"/>
      <x:c r="AA181" s="138"/>
      <x:c r="AB181" s="138"/>
      <x:c r="AC181" s="144"/>
      <x:c r="AD181" s="144"/>
      <x:c r="AE181" s="38"/>
      <x:c r="AF181" s="48" t="str">
        <x:f>IF(OR(G181="",I181="",J181&lt;&gt;""),"",IF(I181&lt;'요약'!$B$2,"만료",(YEAR(I181)-YEAR('요약'!$B$2))*12+MONTH(I181)-MONTH('요약'!$B$2)))</x:f>
      </x:c>
      <x:c r="AG181" s="48" t="str">
        <x:f>IF(G181="","",IF(AF181="만료","만료",IF(AF181=0,"이달",IF(AF181=1,"다음달",IF(AF181&lt;=3,"3개월 내","장기")))))</x:f>
      </x:c>
    </x:row>
    <x:row r="182" ht="18" customHeight="1">
      <x:c r="A182" s="41"/>
      <x:c r="B182" s="38"/>
      <x:c r="C182" s="38"/>
      <x:c r="D182" s="41"/>
      <x:c r="E182" s="41"/>
      <x:c r="F182" s="38"/>
      <x:c r="G182" s="38"/>
      <x:c r="H182" s="138"/>
      <x:c r="I182" s="138"/>
      <x:c r="J182" s="138"/>
      <x:c r="K182" s="144"/>
      <x:c r="L182" s="144"/>
      <x:c r="M182" s="38"/>
      <x:c r="N182" s="38"/>
      <x:c r="O182" s="38"/>
      <x:c r="P182" s="38"/>
      <x:c r="Q182" s="138"/>
      <x:c r="R182" s="138"/>
      <x:c r="S182" s="138"/>
      <x:c r="T182" s="144"/>
      <x:c r="U182" s="144"/>
      <x:c r="V182" s="38"/>
      <x:c r="W182" s="38"/>
      <x:c r="X182" s="38"/>
      <x:c r="Y182" s="38"/>
      <x:c r="Z182" s="138"/>
      <x:c r="AA182" s="138"/>
      <x:c r="AB182" s="138"/>
      <x:c r="AC182" s="144"/>
      <x:c r="AD182" s="144"/>
      <x:c r="AE182" s="38"/>
      <x:c r="AF182" s="48" t="str">
        <x:f>IF(OR(G182="",I182="",J182&lt;&gt;""),"",IF(I182&lt;'요약'!$B$2,"만료",(YEAR(I182)-YEAR('요약'!$B$2))*12+MONTH(I182)-MONTH('요약'!$B$2)))</x:f>
      </x:c>
      <x:c r="AG182" s="48" t="str">
        <x:f>IF(G182="","",IF(AF182="만료","만료",IF(AF182=0,"이달",IF(AF182=1,"다음달",IF(AF182&lt;=3,"3개월 내","장기")))))</x:f>
      </x:c>
    </x:row>
    <x:row r="183" ht="18" customHeight="1">
      <x:c r="A183" s="41"/>
      <x:c r="B183" s="38"/>
      <x:c r="C183" s="38"/>
      <x:c r="D183" s="41"/>
      <x:c r="E183" s="41"/>
      <x:c r="F183" s="38"/>
      <x:c r="G183" s="38"/>
      <x:c r="H183" s="138"/>
      <x:c r="I183" s="138"/>
      <x:c r="J183" s="138"/>
      <x:c r="K183" s="144"/>
      <x:c r="L183" s="144"/>
      <x:c r="M183" s="38"/>
      <x:c r="N183" s="38"/>
      <x:c r="O183" s="38"/>
      <x:c r="P183" s="38"/>
      <x:c r="Q183" s="138"/>
      <x:c r="R183" s="138"/>
      <x:c r="S183" s="138"/>
      <x:c r="T183" s="144"/>
      <x:c r="U183" s="144"/>
      <x:c r="V183" s="38"/>
      <x:c r="W183" s="38"/>
      <x:c r="X183" s="38"/>
      <x:c r="Y183" s="38"/>
      <x:c r="Z183" s="138"/>
      <x:c r="AA183" s="138"/>
      <x:c r="AB183" s="138"/>
      <x:c r="AC183" s="144"/>
      <x:c r="AD183" s="144"/>
      <x:c r="AE183" s="38"/>
      <x:c r="AF183" s="48" t="str">
        <x:f>IF(OR(G183="",I183="",J183&lt;&gt;""),"",IF(I183&lt;'요약'!$B$2,"만료",(YEAR(I183)-YEAR('요약'!$B$2))*12+MONTH(I183)-MONTH('요약'!$B$2)))</x:f>
      </x:c>
      <x:c r="AG183" s="48" t="str">
        <x:f>IF(G183="","",IF(AF183="만료","만료",IF(AF183=0,"이달",IF(AF183=1,"다음달",IF(AF183&lt;=3,"3개월 내","장기")))))</x:f>
      </x:c>
    </x:row>
    <x:row r="184" ht="18" customHeight="1">
      <x:c r="A184" s="41"/>
      <x:c r="B184" s="38"/>
      <x:c r="C184" s="38"/>
      <x:c r="D184" s="41"/>
      <x:c r="E184" s="41"/>
      <x:c r="F184" s="38"/>
      <x:c r="G184" s="38"/>
      <x:c r="H184" s="138"/>
      <x:c r="I184" s="138"/>
      <x:c r="J184" s="138"/>
      <x:c r="K184" s="144"/>
      <x:c r="L184" s="144"/>
      <x:c r="M184" s="38"/>
      <x:c r="N184" s="38"/>
      <x:c r="O184" s="38"/>
      <x:c r="P184" s="38"/>
      <x:c r="Q184" s="138"/>
      <x:c r="R184" s="138"/>
      <x:c r="S184" s="138"/>
      <x:c r="T184" s="144"/>
      <x:c r="U184" s="144"/>
      <x:c r="V184" s="38"/>
      <x:c r="W184" s="38"/>
      <x:c r="X184" s="38"/>
      <x:c r="Y184" s="38"/>
      <x:c r="Z184" s="138"/>
      <x:c r="AA184" s="138"/>
      <x:c r="AB184" s="138"/>
      <x:c r="AC184" s="144"/>
      <x:c r="AD184" s="144"/>
      <x:c r="AE184" s="38"/>
      <x:c r="AF184" s="48" t="str">
        <x:f>IF(OR(G184="",I184="",J184&lt;&gt;""),"",IF(I184&lt;'요약'!$B$2,"만료",(YEAR(I184)-YEAR('요약'!$B$2))*12+MONTH(I184)-MONTH('요약'!$B$2)))</x:f>
      </x:c>
      <x:c r="AG184" s="48" t="str">
        <x:f>IF(G184="","",IF(AF184="만료","만료",IF(AF184=0,"이달",IF(AF184=1,"다음달",IF(AF184&lt;=3,"3개월 내","장기")))))</x:f>
      </x:c>
    </x:row>
    <x:row r="185" ht="18" customHeight="1">
      <x:c r="A185" s="41"/>
      <x:c r="B185" s="38"/>
      <x:c r="C185" s="38"/>
      <x:c r="D185" s="41"/>
      <x:c r="E185" s="41"/>
      <x:c r="F185" s="38"/>
      <x:c r="G185" s="38"/>
      <x:c r="H185" s="138"/>
      <x:c r="I185" s="138"/>
      <x:c r="J185" s="138"/>
      <x:c r="K185" s="144"/>
      <x:c r="L185" s="144"/>
      <x:c r="M185" s="38"/>
      <x:c r="N185" s="38"/>
      <x:c r="O185" s="38"/>
      <x:c r="P185" s="38"/>
      <x:c r="Q185" s="138"/>
      <x:c r="R185" s="138"/>
      <x:c r="S185" s="138"/>
      <x:c r="T185" s="144"/>
      <x:c r="U185" s="144"/>
      <x:c r="V185" s="38"/>
      <x:c r="W185" s="38"/>
      <x:c r="X185" s="38"/>
      <x:c r="Y185" s="38"/>
      <x:c r="Z185" s="138"/>
      <x:c r="AA185" s="138"/>
      <x:c r="AB185" s="138"/>
      <x:c r="AC185" s="144"/>
      <x:c r="AD185" s="144"/>
      <x:c r="AE185" s="38"/>
      <x:c r="AF185" s="48" t="str">
        <x:f>IF(OR(G185="",I185="",J185&lt;&gt;""),"",IF(I185&lt;'요약'!$B$2,"만료",(YEAR(I185)-YEAR('요약'!$B$2))*12+MONTH(I185)-MONTH('요약'!$B$2)))</x:f>
      </x:c>
      <x:c r="AG185" s="48" t="str">
        <x:f>IF(G185="","",IF(AF185="만료","만료",IF(AF185=0,"이달",IF(AF185=1,"다음달",IF(AF185&lt;=3,"3개월 내","장기")))))</x:f>
      </x:c>
    </x:row>
    <x:row r="186" ht="18" customHeight="1">
      <x:c r="A186" s="41"/>
      <x:c r="B186" s="38"/>
      <x:c r="C186" s="38"/>
      <x:c r="D186" s="41"/>
      <x:c r="E186" s="41"/>
      <x:c r="F186" s="38"/>
      <x:c r="G186" s="38"/>
      <x:c r="H186" s="138"/>
      <x:c r="I186" s="138"/>
      <x:c r="J186" s="138"/>
      <x:c r="K186" s="144"/>
      <x:c r="L186" s="144"/>
      <x:c r="M186" s="38"/>
      <x:c r="N186" s="38"/>
      <x:c r="O186" s="38"/>
      <x:c r="P186" s="38"/>
      <x:c r="Q186" s="138"/>
      <x:c r="R186" s="138"/>
      <x:c r="S186" s="138"/>
      <x:c r="T186" s="144"/>
      <x:c r="U186" s="144"/>
      <x:c r="V186" s="38"/>
      <x:c r="W186" s="38"/>
      <x:c r="X186" s="38"/>
      <x:c r="Y186" s="38"/>
      <x:c r="Z186" s="138"/>
      <x:c r="AA186" s="138"/>
      <x:c r="AB186" s="138"/>
      <x:c r="AC186" s="144"/>
      <x:c r="AD186" s="144"/>
      <x:c r="AE186" s="38"/>
      <x:c r="AF186" s="48" t="str">
        <x:f>IF(OR(G186="",I186="",J186&lt;&gt;""),"",IF(I186&lt;'요약'!$B$2,"만료",(YEAR(I186)-YEAR('요약'!$B$2))*12+MONTH(I186)-MONTH('요약'!$B$2)))</x:f>
      </x:c>
      <x:c r="AG186" s="48" t="str">
        <x:f>IF(G186="","",IF(AF186="만료","만료",IF(AF186=0,"이달",IF(AF186=1,"다음달",IF(AF186&lt;=3,"3개월 내","장기")))))</x:f>
      </x:c>
    </x:row>
    <x:row r="187" ht="18" customHeight="1">
      <x:c r="A187" s="41"/>
      <x:c r="B187" s="38"/>
      <x:c r="C187" s="38"/>
      <x:c r="D187" s="41"/>
      <x:c r="E187" s="41"/>
      <x:c r="F187" s="38"/>
      <x:c r="G187" s="38"/>
      <x:c r="H187" s="138"/>
      <x:c r="I187" s="138"/>
      <x:c r="J187" s="138"/>
      <x:c r="K187" s="144"/>
      <x:c r="L187" s="144"/>
      <x:c r="M187" s="38"/>
      <x:c r="N187" s="38"/>
      <x:c r="O187" s="38"/>
      <x:c r="P187" s="38"/>
      <x:c r="Q187" s="138"/>
      <x:c r="R187" s="138"/>
      <x:c r="S187" s="138"/>
      <x:c r="T187" s="144"/>
      <x:c r="U187" s="144"/>
      <x:c r="V187" s="38"/>
      <x:c r="W187" s="38"/>
      <x:c r="X187" s="38"/>
      <x:c r="Y187" s="38"/>
      <x:c r="Z187" s="138"/>
      <x:c r="AA187" s="138"/>
      <x:c r="AB187" s="138"/>
      <x:c r="AC187" s="144"/>
      <x:c r="AD187" s="144"/>
      <x:c r="AE187" s="38"/>
      <x:c r="AF187" s="48" t="str">
        <x:f>IF(OR(G187="",I187="",J187&lt;&gt;""),"",IF(I187&lt;'요약'!$B$2,"만료",(YEAR(I187)-YEAR('요약'!$B$2))*12+MONTH(I187)-MONTH('요약'!$B$2)))</x:f>
      </x:c>
      <x:c r="AG187" s="48" t="str">
        <x:f>IF(G187="","",IF(AF187="만료","만료",IF(AF187=0,"이달",IF(AF187=1,"다음달",IF(AF187&lt;=3,"3개월 내","장기")))))</x:f>
      </x:c>
    </x:row>
    <x:row r="188" ht="18" customHeight="1">
      <x:c r="A188" s="41"/>
      <x:c r="B188" s="38"/>
      <x:c r="C188" s="38"/>
      <x:c r="D188" s="41"/>
      <x:c r="E188" s="41"/>
      <x:c r="F188" s="38"/>
      <x:c r="G188" s="38"/>
      <x:c r="H188" s="138"/>
      <x:c r="I188" s="138"/>
      <x:c r="J188" s="138"/>
      <x:c r="K188" s="144"/>
      <x:c r="L188" s="144"/>
      <x:c r="M188" s="38"/>
      <x:c r="N188" s="38"/>
      <x:c r="O188" s="38"/>
      <x:c r="P188" s="38"/>
      <x:c r="Q188" s="138"/>
      <x:c r="R188" s="138"/>
      <x:c r="S188" s="138"/>
      <x:c r="T188" s="144"/>
      <x:c r="U188" s="144"/>
      <x:c r="V188" s="38"/>
      <x:c r="W188" s="38"/>
      <x:c r="X188" s="38"/>
      <x:c r="Y188" s="38"/>
      <x:c r="Z188" s="138"/>
      <x:c r="AA188" s="138"/>
      <x:c r="AB188" s="138"/>
      <x:c r="AC188" s="144"/>
      <x:c r="AD188" s="144"/>
      <x:c r="AE188" s="38"/>
      <x:c r="AF188" s="48" t="str">
        <x:f>IF(OR(G188="",I188="",J188&lt;&gt;""),"",IF(I188&lt;'요약'!$B$2,"만료",(YEAR(I188)-YEAR('요약'!$B$2))*12+MONTH(I188)-MONTH('요약'!$B$2)))</x:f>
      </x:c>
      <x:c r="AG188" s="48" t="str">
        <x:f>IF(G188="","",IF(AF188="만료","만료",IF(AF188=0,"이달",IF(AF188=1,"다음달",IF(AF188&lt;=3,"3개월 내","장기")))))</x:f>
      </x:c>
    </x:row>
    <x:row r="189" ht="18" customHeight="1">
      <x:c r="A189" s="41"/>
      <x:c r="B189" s="38"/>
      <x:c r="C189" s="38"/>
      <x:c r="D189" s="41"/>
      <x:c r="E189" s="41"/>
      <x:c r="F189" s="38"/>
      <x:c r="G189" s="38"/>
      <x:c r="H189" s="138"/>
      <x:c r="I189" s="138"/>
      <x:c r="J189" s="138"/>
      <x:c r="K189" s="144"/>
      <x:c r="L189" s="144"/>
      <x:c r="M189" s="38"/>
      <x:c r="N189" s="38"/>
      <x:c r="O189" s="38"/>
      <x:c r="P189" s="38"/>
      <x:c r="Q189" s="138"/>
      <x:c r="R189" s="138"/>
      <x:c r="S189" s="138"/>
      <x:c r="T189" s="144"/>
      <x:c r="U189" s="144"/>
      <x:c r="V189" s="38"/>
      <x:c r="W189" s="38"/>
      <x:c r="X189" s="38"/>
      <x:c r="Y189" s="38"/>
      <x:c r="Z189" s="138"/>
      <x:c r="AA189" s="138"/>
      <x:c r="AB189" s="138"/>
      <x:c r="AC189" s="144"/>
      <x:c r="AD189" s="144"/>
      <x:c r="AE189" s="38"/>
      <x:c r="AF189" s="48" t="str">
        <x:f>IF(OR(G189="",I189="",J189&lt;&gt;""),"",IF(I189&lt;'요약'!$B$2,"만료",(YEAR(I189)-YEAR('요약'!$B$2))*12+MONTH(I189)-MONTH('요약'!$B$2)))</x:f>
      </x:c>
      <x:c r="AG189" s="48" t="str">
        <x:f>IF(G189="","",IF(AF189="만료","만료",IF(AF189=0,"이달",IF(AF189=1,"다음달",IF(AF189&lt;=3,"3개월 내","장기")))))</x:f>
      </x:c>
    </x:row>
    <x:row r="190" ht="18" customHeight="1">
      <x:c r="A190" s="41"/>
      <x:c r="B190" s="38"/>
      <x:c r="C190" s="38"/>
      <x:c r="D190" s="41"/>
      <x:c r="E190" s="41"/>
      <x:c r="F190" s="38"/>
      <x:c r="G190" s="38"/>
      <x:c r="H190" s="138"/>
      <x:c r="I190" s="138"/>
      <x:c r="J190" s="138"/>
      <x:c r="K190" s="144"/>
      <x:c r="L190" s="144"/>
      <x:c r="M190" s="38"/>
      <x:c r="N190" s="38"/>
      <x:c r="O190" s="38"/>
      <x:c r="P190" s="38"/>
      <x:c r="Q190" s="138"/>
      <x:c r="R190" s="138"/>
      <x:c r="S190" s="138"/>
      <x:c r="T190" s="144"/>
      <x:c r="U190" s="144"/>
      <x:c r="V190" s="38"/>
      <x:c r="W190" s="38"/>
      <x:c r="X190" s="38"/>
      <x:c r="Y190" s="38"/>
      <x:c r="Z190" s="138"/>
      <x:c r="AA190" s="138"/>
      <x:c r="AB190" s="138"/>
      <x:c r="AC190" s="144"/>
      <x:c r="AD190" s="144"/>
      <x:c r="AE190" s="38"/>
      <x:c r="AF190" s="48" t="str">
        <x:f>IF(OR(G190="",I190="",J190&lt;&gt;""),"",IF(I190&lt;'요약'!$B$2,"만료",(YEAR(I190)-YEAR('요약'!$B$2))*12+MONTH(I190)-MONTH('요약'!$B$2)))</x:f>
      </x:c>
      <x:c r="AG190" s="48" t="str">
        <x:f>IF(G190="","",IF(AF190="만료","만료",IF(AF190=0,"이달",IF(AF190=1,"다음달",IF(AF190&lt;=3,"3개월 내","장기")))))</x:f>
      </x:c>
    </x:row>
    <x:row r="191" ht="18" customHeight="1">
      <x:c r="A191" s="41"/>
      <x:c r="B191" s="38"/>
      <x:c r="C191" s="38"/>
      <x:c r="D191" s="41"/>
      <x:c r="E191" s="41"/>
      <x:c r="F191" s="38"/>
      <x:c r="G191" s="38"/>
      <x:c r="H191" s="138"/>
      <x:c r="I191" s="138"/>
      <x:c r="J191" s="138"/>
      <x:c r="K191" s="144"/>
      <x:c r="L191" s="144"/>
      <x:c r="M191" s="38"/>
      <x:c r="N191" s="38"/>
      <x:c r="O191" s="38"/>
      <x:c r="P191" s="38"/>
      <x:c r="Q191" s="138"/>
      <x:c r="R191" s="138"/>
      <x:c r="S191" s="138"/>
      <x:c r="T191" s="144"/>
      <x:c r="U191" s="144"/>
      <x:c r="V191" s="38"/>
      <x:c r="W191" s="38"/>
      <x:c r="X191" s="38"/>
      <x:c r="Y191" s="38"/>
      <x:c r="Z191" s="138"/>
      <x:c r="AA191" s="138"/>
      <x:c r="AB191" s="138"/>
      <x:c r="AC191" s="144"/>
      <x:c r="AD191" s="144"/>
      <x:c r="AE191" s="38"/>
      <x:c r="AF191" s="48" t="str">
        <x:f>IF(OR(G191="",I191="",J191&lt;&gt;""),"",IF(I191&lt;'요약'!$B$2,"만료",(YEAR(I191)-YEAR('요약'!$B$2))*12+MONTH(I191)-MONTH('요약'!$B$2)))</x:f>
      </x:c>
      <x:c r="AG191" s="48" t="str">
        <x:f>IF(G191="","",IF(AF191="만료","만료",IF(AF191=0,"이달",IF(AF191=1,"다음달",IF(AF191&lt;=3,"3개월 내","장기")))))</x:f>
      </x:c>
    </x:row>
    <x:row r="192" ht="18" customHeight="1">
      <x:c r="A192" s="41"/>
      <x:c r="B192" s="38"/>
      <x:c r="C192" s="38"/>
      <x:c r="D192" s="41"/>
      <x:c r="E192" s="41"/>
      <x:c r="F192" s="38"/>
      <x:c r="G192" s="38"/>
      <x:c r="H192" s="138"/>
      <x:c r="I192" s="138"/>
      <x:c r="J192" s="138"/>
      <x:c r="K192" s="144"/>
      <x:c r="L192" s="144"/>
      <x:c r="M192" s="38"/>
      <x:c r="N192" s="38"/>
      <x:c r="O192" s="38"/>
      <x:c r="P192" s="38"/>
      <x:c r="Q192" s="138"/>
      <x:c r="R192" s="138"/>
      <x:c r="S192" s="138"/>
      <x:c r="T192" s="144"/>
      <x:c r="U192" s="144"/>
      <x:c r="V192" s="38"/>
      <x:c r="W192" s="38"/>
      <x:c r="X192" s="38"/>
      <x:c r="Y192" s="38"/>
      <x:c r="Z192" s="138"/>
      <x:c r="AA192" s="138"/>
      <x:c r="AB192" s="138"/>
      <x:c r="AC192" s="144"/>
      <x:c r="AD192" s="144"/>
      <x:c r="AE192" s="38"/>
      <x:c r="AF192" s="48" t="str">
        <x:f>IF(OR(G192="",I192="",J192&lt;&gt;""),"",IF(I192&lt;'요약'!$B$2,"만료",(YEAR(I192)-YEAR('요약'!$B$2))*12+MONTH(I192)-MONTH('요약'!$B$2)))</x:f>
      </x:c>
      <x:c r="AG192" s="48" t="str">
        <x:f>IF(G192="","",IF(AF192="만료","만료",IF(AF192=0,"이달",IF(AF192=1,"다음달",IF(AF192&lt;=3,"3개월 내","장기")))))</x:f>
      </x:c>
    </x:row>
    <x:row r="193" ht="18" customHeight="1">
      <x:c r="A193" s="41"/>
      <x:c r="B193" s="38"/>
      <x:c r="C193" s="38"/>
      <x:c r="D193" s="41"/>
      <x:c r="E193" s="41"/>
      <x:c r="F193" s="38"/>
      <x:c r="G193" s="38"/>
      <x:c r="H193" s="138"/>
      <x:c r="I193" s="138"/>
      <x:c r="J193" s="138"/>
      <x:c r="K193" s="144"/>
      <x:c r="L193" s="144"/>
      <x:c r="M193" s="38"/>
      <x:c r="N193" s="38"/>
      <x:c r="O193" s="38"/>
      <x:c r="P193" s="38"/>
      <x:c r="Q193" s="138"/>
      <x:c r="R193" s="138"/>
      <x:c r="S193" s="138"/>
      <x:c r="T193" s="144"/>
      <x:c r="U193" s="144"/>
      <x:c r="V193" s="38"/>
      <x:c r="W193" s="38"/>
      <x:c r="X193" s="38"/>
      <x:c r="Y193" s="38"/>
      <x:c r="Z193" s="138"/>
      <x:c r="AA193" s="138"/>
      <x:c r="AB193" s="138"/>
      <x:c r="AC193" s="144"/>
      <x:c r="AD193" s="144"/>
      <x:c r="AE193" s="38"/>
      <x:c r="AF193" s="48" t="str">
        <x:f>IF(OR(G193="",I193="",J193&lt;&gt;""),"",IF(I193&lt;'요약'!$B$2,"만료",(YEAR(I193)-YEAR('요약'!$B$2))*12+MONTH(I193)-MONTH('요약'!$B$2)))</x:f>
      </x:c>
      <x:c r="AG193" s="48" t="str">
        <x:f>IF(G193="","",IF(AF193="만료","만료",IF(AF193=0,"이달",IF(AF193=1,"다음달",IF(AF193&lt;=3,"3개월 내","장기")))))</x:f>
      </x:c>
    </x:row>
    <x:row r="194" ht="18" customHeight="1">
      <x:c r="A194" s="41"/>
      <x:c r="B194" s="38"/>
      <x:c r="C194" s="38"/>
      <x:c r="D194" s="41"/>
      <x:c r="E194" s="41"/>
      <x:c r="F194" s="38"/>
      <x:c r="G194" s="38"/>
      <x:c r="H194" s="138"/>
      <x:c r="I194" s="138"/>
      <x:c r="J194" s="138"/>
      <x:c r="K194" s="144"/>
      <x:c r="L194" s="144"/>
      <x:c r="M194" s="38"/>
      <x:c r="N194" s="38"/>
      <x:c r="O194" s="38"/>
      <x:c r="P194" s="38"/>
      <x:c r="Q194" s="138"/>
      <x:c r="R194" s="138"/>
      <x:c r="S194" s="138"/>
      <x:c r="T194" s="144"/>
      <x:c r="U194" s="144"/>
      <x:c r="V194" s="38"/>
      <x:c r="W194" s="38"/>
      <x:c r="X194" s="38"/>
      <x:c r="Y194" s="38"/>
      <x:c r="Z194" s="138"/>
      <x:c r="AA194" s="138"/>
      <x:c r="AB194" s="138"/>
      <x:c r="AC194" s="144"/>
      <x:c r="AD194" s="144"/>
      <x:c r="AE194" s="38"/>
      <x:c r="AF194" s="48" t="str">
        <x:f>IF(OR(G194="",I194="",J194&lt;&gt;""),"",IF(I194&lt;'요약'!$B$2,"만료",(YEAR(I194)-YEAR('요약'!$B$2))*12+MONTH(I194)-MONTH('요약'!$B$2)))</x:f>
      </x:c>
      <x:c r="AG194" s="48" t="str">
        <x:f>IF(G194="","",IF(AF194="만료","만료",IF(AF194=0,"이달",IF(AF194=1,"다음달",IF(AF194&lt;=3,"3개월 내","장기")))))</x:f>
      </x:c>
    </x:row>
    <x:row r="195" ht="18" customHeight="1">
      <x:c r="A195" s="41"/>
      <x:c r="B195" s="38"/>
      <x:c r="C195" s="38"/>
      <x:c r="D195" s="41"/>
      <x:c r="E195" s="41"/>
      <x:c r="F195" s="38"/>
      <x:c r="G195" s="38"/>
      <x:c r="H195" s="138"/>
      <x:c r="I195" s="138"/>
      <x:c r="J195" s="138"/>
      <x:c r="K195" s="144"/>
      <x:c r="L195" s="144"/>
      <x:c r="M195" s="38"/>
      <x:c r="N195" s="38"/>
      <x:c r="O195" s="38"/>
      <x:c r="P195" s="38"/>
      <x:c r="Q195" s="138"/>
      <x:c r="R195" s="138"/>
      <x:c r="S195" s="138"/>
      <x:c r="T195" s="144"/>
      <x:c r="U195" s="144"/>
      <x:c r="V195" s="38"/>
      <x:c r="W195" s="38"/>
      <x:c r="X195" s="38"/>
      <x:c r="Y195" s="38"/>
      <x:c r="Z195" s="138"/>
      <x:c r="AA195" s="138"/>
      <x:c r="AB195" s="138"/>
      <x:c r="AC195" s="144"/>
      <x:c r="AD195" s="144"/>
      <x:c r="AE195" s="38"/>
      <x:c r="AF195" s="48" t="str">
        <x:f>IF(OR(G195="",I195="",J195&lt;&gt;""),"",IF(I195&lt;'요약'!$B$2,"만료",(YEAR(I195)-YEAR('요약'!$B$2))*12+MONTH(I195)-MONTH('요약'!$B$2)))</x:f>
      </x:c>
      <x:c r="AG195" s="48" t="str">
        <x:f>IF(G195="","",IF(AF195="만료","만료",IF(AF195=0,"이달",IF(AF195=1,"다음달",IF(AF195&lt;=3,"3개월 내","장기")))))</x:f>
      </x:c>
    </x:row>
    <x:row r="196" ht="18" customHeight="1">
      <x:c r="A196" s="41"/>
      <x:c r="B196" s="38"/>
      <x:c r="C196" s="38"/>
      <x:c r="D196" s="41"/>
      <x:c r="E196" s="41"/>
      <x:c r="F196" s="38"/>
      <x:c r="G196" s="38"/>
      <x:c r="H196" s="138"/>
      <x:c r="I196" s="138"/>
      <x:c r="J196" s="138"/>
      <x:c r="K196" s="144"/>
      <x:c r="L196" s="144"/>
      <x:c r="M196" s="38"/>
      <x:c r="N196" s="38"/>
      <x:c r="O196" s="38"/>
      <x:c r="P196" s="38"/>
      <x:c r="Q196" s="138"/>
      <x:c r="R196" s="138"/>
      <x:c r="S196" s="138"/>
      <x:c r="T196" s="144"/>
      <x:c r="U196" s="144"/>
      <x:c r="V196" s="38"/>
      <x:c r="W196" s="38"/>
      <x:c r="X196" s="38"/>
      <x:c r="Y196" s="38"/>
      <x:c r="Z196" s="138"/>
      <x:c r="AA196" s="138"/>
      <x:c r="AB196" s="138"/>
      <x:c r="AC196" s="144"/>
      <x:c r="AD196" s="144"/>
      <x:c r="AE196" s="38"/>
      <x:c r="AF196" s="48" t="str">
        <x:f>IF(OR(G196="",I196="",J196&lt;&gt;""),"",IF(I196&lt;'요약'!$B$2,"만료",(YEAR(I196)-YEAR('요약'!$B$2))*12+MONTH(I196)-MONTH('요약'!$B$2)))</x:f>
      </x:c>
      <x:c r="AG196" s="48" t="str">
        <x:f>IF(G196="","",IF(AF196="만료","만료",IF(AF196=0,"이달",IF(AF196=1,"다음달",IF(AF196&lt;=3,"3개월 내","장기")))))</x:f>
      </x:c>
    </x:row>
    <x:row r="197" ht="18" customHeight="1">
      <x:c r="A197" s="41"/>
      <x:c r="B197" s="38"/>
      <x:c r="C197" s="38"/>
      <x:c r="D197" s="41"/>
      <x:c r="E197" s="41"/>
      <x:c r="F197" s="38"/>
      <x:c r="G197" s="38"/>
      <x:c r="H197" s="138"/>
      <x:c r="I197" s="138"/>
      <x:c r="J197" s="138"/>
      <x:c r="K197" s="144"/>
      <x:c r="L197" s="144"/>
      <x:c r="M197" s="38"/>
      <x:c r="N197" s="38"/>
      <x:c r="O197" s="38"/>
      <x:c r="P197" s="38"/>
      <x:c r="Q197" s="138"/>
      <x:c r="R197" s="138"/>
      <x:c r="S197" s="138"/>
      <x:c r="T197" s="144"/>
      <x:c r="U197" s="144"/>
      <x:c r="V197" s="38"/>
      <x:c r="W197" s="38"/>
      <x:c r="X197" s="38"/>
      <x:c r="Y197" s="38"/>
      <x:c r="Z197" s="138"/>
      <x:c r="AA197" s="138"/>
      <x:c r="AB197" s="138"/>
      <x:c r="AC197" s="144"/>
      <x:c r="AD197" s="144"/>
      <x:c r="AE197" s="38"/>
      <x:c r="AF197" s="48" t="str">
        <x:f>IF(OR(G197="",I197="",J197&lt;&gt;""),"",IF(I197&lt;'요약'!$B$2,"만료",(YEAR(I197)-YEAR('요약'!$B$2))*12+MONTH(I197)-MONTH('요약'!$B$2)))</x:f>
      </x:c>
      <x:c r="AG197" s="48" t="str">
        <x:f>IF(G197="","",IF(AF197="만료","만료",IF(AF197=0,"이달",IF(AF197=1,"다음달",IF(AF197&lt;=3,"3개월 내","장기")))))</x:f>
      </x:c>
    </x:row>
    <x:row r="198" ht="18" customHeight="1">
      <x:c r="A198" s="41"/>
      <x:c r="B198" s="38"/>
      <x:c r="C198" s="38"/>
      <x:c r="D198" s="41"/>
      <x:c r="E198" s="41"/>
      <x:c r="F198" s="38"/>
      <x:c r="G198" s="38"/>
      <x:c r="H198" s="138"/>
      <x:c r="I198" s="138"/>
      <x:c r="J198" s="138"/>
      <x:c r="K198" s="144"/>
      <x:c r="L198" s="144"/>
      <x:c r="M198" s="38"/>
      <x:c r="N198" s="38"/>
      <x:c r="O198" s="38"/>
      <x:c r="P198" s="38"/>
      <x:c r="Q198" s="138"/>
      <x:c r="R198" s="138"/>
      <x:c r="S198" s="138"/>
      <x:c r="T198" s="144"/>
      <x:c r="U198" s="144"/>
      <x:c r="V198" s="38"/>
      <x:c r="W198" s="38"/>
      <x:c r="X198" s="38"/>
      <x:c r="Y198" s="38"/>
      <x:c r="Z198" s="138"/>
      <x:c r="AA198" s="138"/>
      <x:c r="AB198" s="138"/>
      <x:c r="AC198" s="144"/>
      <x:c r="AD198" s="144"/>
      <x:c r="AE198" s="38"/>
      <x:c r="AF198" s="48" t="str">
        <x:f>IF(OR(G198="",I198="",J198&lt;&gt;""),"",IF(I198&lt;'요약'!$B$2,"만료",(YEAR(I198)-YEAR('요약'!$B$2))*12+MONTH(I198)-MONTH('요약'!$B$2)))</x:f>
      </x:c>
      <x:c r="AG198" s="48" t="str">
        <x:f>IF(G198="","",IF(AF198="만료","만료",IF(AF198=0,"이달",IF(AF198=1,"다음달",IF(AF198&lt;=3,"3개월 내","장기")))))</x:f>
      </x:c>
    </x:row>
    <x:row r="199" ht="18" customHeight="1">
      <x:c r="A199" s="41"/>
      <x:c r="B199" s="38"/>
      <x:c r="C199" s="38"/>
      <x:c r="D199" s="41"/>
      <x:c r="E199" s="41"/>
      <x:c r="F199" s="38"/>
      <x:c r="G199" s="38"/>
      <x:c r="H199" s="138"/>
      <x:c r="I199" s="138"/>
      <x:c r="J199" s="138"/>
      <x:c r="K199" s="144"/>
      <x:c r="L199" s="144"/>
      <x:c r="M199" s="38"/>
      <x:c r="N199" s="38"/>
      <x:c r="O199" s="38"/>
      <x:c r="P199" s="38"/>
      <x:c r="Q199" s="138"/>
      <x:c r="R199" s="138"/>
      <x:c r="S199" s="138"/>
      <x:c r="T199" s="144"/>
      <x:c r="U199" s="144"/>
      <x:c r="V199" s="38"/>
      <x:c r="W199" s="38"/>
      <x:c r="X199" s="38"/>
      <x:c r="Y199" s="38"/>
      <x:c r="Z199" s="138"/>
      <x:c r="AA199" s="138"/>
      <x:c r="AB199" s="138"/>
      <x:c r="AC199" s="144"/>
      <x:c r="AD199" s="144"/>
      <x:c r="AE199" s="38"/>
      <x:c r="AF199" s="48" t="str">
        <x:f>IF(OR(G199="",I199="",J199&lt;&gt;""),"",IF(I199&lt;'요약'!$B$2,"만료",(YEAR(I199)-YEAR('요약'!$B$2))*12+MONTH(I199)-MONTH('요약'!$B$2)))</x:f>
      </x:c>
      <x:c r="AG199" s="48" t="str">
        <x:f>IF(G199="","",IF(AF199="만료","만료",IF(AF199=0,"이달",IF(AF199=1,"다음달",IF(AF199&lt;=3,"3개월 내","장기")))))</x:f>
      </x:c>
    </x:row>
    <x:row r="200" ht="18" customHeight="1">
      <x:c r="A200" s="41"/>
      <x:c r="B200" s="38"/>
      <x:c r="C200" s="38"/>
      <x:c r="D200" s="41"/>
      <x:c r="E200" s="41"/>
      <x:c r="F200" s="38"/>
      <x:c r="G200" s="38"/>
      <x:c r="H200" s="138"/>
      <x:c r="I200" s="138"/>
      <x:c r="J200" s="138"/>
      <x:c r="K200" s="144"/>
      <x:c r="L200" s="144"/>
      <x:c r="M200" s="38"/>
      <x:c r="N200" s="38"/>
      <x:c r="O200" s="38"/>
      <x:c r="P200" s="38"/>
      <x:c r="Q200" s="138"/>
      <x:c r="R200" s="138"/>
      <x:c r="S200" s="138"/>
      <x:c r="T200" s="144"/>
      <x:c r="U200" s="144"/>
      <x:c r="V200" s="38"/>
      <x:c r="W200" s="38"/>
      <x:c r="X200" s="38"/>
      <x:c r="Y200" s="38"/>
      <x:c r="Z200" s="138"/>
      <x:c r="AA200" s="138"/>
      <x:c r="AB200" s="138"/>
      <x:c r="AC200" s="144"/>
      <x:c r="AD200" s="144"/>
      <x:c r="AE200" s="38"/>
      <x:c r="AF200" s="48" t="str">
        <x:f>IF(OR(G200="",I200="",J200&lt;&gt;""),"",IF(I200&lt;'요약'!$B$2,"만료",(YEAR(I200)-YEAR('요약'!$B$2))*12+MONTH(I200)-MONTH('요약'!$B$2)))</x:f>
      </x:c>
      <x:c r="AG200" s="48" t="str">
        <x:f>IF(G200="","",IF(AF200="만료","만료",IF(AF200=0,"이달",IF(AF200=1,"다음달",IF(AF200&lt;=3,"3개월 내","장기")))))</x:f>
      </x:c>
    </x:row>
    <x:row r="201" ht="18" customHeight="1">
      <x:c r="A201" s="41"/>
      <x:c r="B201" s="38"/>
      <x:c r="C201" s="38"/>
      <x:c r="D201" s="41"/>
      <x:c r="E201" s="41"/>
      <x:c r="F201" s="38"/>
      <x:c r="G201" s="38"/>
      <x:c r="H201" s="138"/>
      <x:c r="I201" s="138"/>
      <x:c r="J201" s="138"/>
      <x:c r="K201" s="144"/>
      <x:c r="L201" s="144"/>
      <x:c r="M201" s="38"/>
      <x:c r="N201" s="38"/>
      <x:c r="O201" s="38"/>
      <x:c r="P201" s="38"/>
      <x:c r="Q201" s="138"/>
      <x:c r="R201" s="138"/>
      <x:c r="S201" s="138"/>
      <x:c r="T201" s="144"/>
      <x:c r="U201" s="144"/>
      <x:c r="V201" s="38"/>
      <x:c r="W201" s="38"/>
      <x:c r="X201" s="38"/>
      <x:c r="Y201" s="38"/>
      <x:c r="Z201" s="138"/>
      <x:c r="AA201" s="138"/>
      <x:c r="AB201" s="138"/>
      <x:c r="AC201" s="144"/>
      <x:c r="AD201" s="144"/>
      <x:c r="AE201" s="38"/>
      <x:c r="AF201" s="48" t="str">
        <x:f>IF(OR(G201="",I201="",J201&lt;&gt;""),"",IF(I201&lt;'요약'!$B$2,"만료",(YEAR(I201)-YEAR('요약'!$B$2))*12+MONTH(I201)-MONTH('요약'!$B$2)))</x:f>
      </x:c>
      <x:c r="AG201" s="48" t="str">
        <x:f>IF(G201="","",IF(AF201="만료","만료",IF(AF201=0,"이달",IF(AF201=1,"다음달",IF(AF201&lt;=3,"3개월 내","장기")))))</x:f>
      </x:c>
    </x:row>
    <x:row r="202" ht="18" customHeight="1">
      <x:c r="A202" s="41"/>
      <x:c r="B202" s="38"/>
      <x:c r="C202" s="38"/>
      <x:c r="D202" s="41"/>
      <x:c r="E202" s="41"/>
      <x:c r="F202" s="38"/>
      <x:c r="G202" s="38"/>
      <x:c r="H202" s="138"/>
      <x:c r="I202" s="138"/>
      <x:c r="J202" s="138"/>
      <x:c r="K202" s="144"/>
      <x:c r="L202" s="144"/>
      <x:c r="M202" s="38"/>
      <x:c r="N202" s="38"/>
      <x:c r="O202" s="38"/>
      <x:c r="P202" s="38"/>
      <x:c r="Q202" s="138"/>
      <x:c r="R202" s="138"/>
      <x:c r="S202" s="138"/>
      <x:c r="T202" s="144"/>
      <x:c r="U202" s="144"/>
      <x:c r="V202" s="38"/>
      <x:c r="W202" s="38"/>
      <x:c r="X202" s="38"/>
      <x:c r="Y202" s="38"/>
      <x:c r="Z202" s="138"/>
      <x:c r="AA202" s="138"/>
      <x:c r="AB202" s="138"/>
      <x:c r="AC202" s="144"/>
      <x:c r="AD202" s="144"/>
      <x:c r="AE202" s="38"/>
      <x:c r="AF202" s="48" t="str">
        <x:f>IF(OR(G202="",I202="",J202&lt;&gt;""),"",IF(I202&lt;'요약'!$B$2,"만료",(YEAR(I202)-YEAR('요약'!$B$2))*12+MONTH(I202)-MONTH('요약'!$B$2)))</x:f>
      </x:c>
      <x:c r="AG202" s="48" t="str">
        <x:f>IF(G202="","",IF(AF202="만료","만료",IF(AF202=0,"이달",IF(AF202=1,"다음달",IF(AF202&lt;=3,"3개월 내","장기")))))</x:f>
      </x:c>
    </x:row>
    <x:row r="203" ht="18" customHeight="1">
      <x:c r="A203" s="41"/>
      <x:c r="B203" s="38"/>
      <x:c r="C203" s="38"/>
      <x:c r="D203" s="41"/>
      <x:c r="E203" s="41"/>
      <x:c r="F203" s="38"/>
      <x:c r="G203" s="38"/>
      <x:c r="H203" s="138"/>
      <x:c r="I203" s="138"/>
      <x:c r="J203" s="138"/>
      <x:c r="K203" s="144"/>
      <x:c r="L203" s="144"/>
      <x:c r="M203" s="38"/>
      <x:c r="N203" s="38"/>
      <x:c r="O203" s="38"/>
      <x:c r="P203" s="38"/>
      <x:c r="Q203" s="138"/>
      <x:c r="R203" s="138"/>
      <x:c r="S203" s="138"/>
      <x:c r="T203" s="144"/>
      <x:c r="U203" s="144"/>
      <x:c r="V203" s="38"/>
      <x:c r="W203" s="38"/>
      <x:c r="X203" s="38"/>
      <x:c r="Y203" s="38"/>
      <x:c r="Z203" s="138"/>
      <x:c r="AA203" s="138"/>
      <x:c r="AB203" s="138"/>
      <x:c r="AC203" s="144"/>
      <x:c r="AD203" s="144"/>
      <x:c r="AE203" s="38"/>
      <x:c r="AF203" s="48" t="str">
        <x:f>IF(OR(G203="",I203="",J203&lt;&gt;""),"",IF(I203&lt;'요약'!$B$2,"만료",(YEAR(I203)-YEAR('요약'!$B$2))*12+MONTH(I203)-MONTH('요약'!$B$2)))</x:f>
      </x:c>
      <x:c r="AG203" s="48" t="str">
        <x:f>IF(G203="","",IF(AF203="만료","만료",IF(AF203=0,"이달",IF(AF203=1,"다음달",IF(AF203&lt;=3,"3개월 내","장기")))))</x:f>
      </x:c>
    </x:row>
    <x:row r="204" ht="18" customHeight="1">
      <x:c r="A204" s="42"/>
      <x:c r="B204" s="39"/>
      <x:c r="C204" s="39"/>
      <x:c r="D204" s="42"/>
      <x:c r="E204" s="42"/>
      <x:c r="F204" s="39"/>
      <x:c r="G204" s="39"/>
      <x:c r="H204" s="139"/>
      <x:c r="I204" s="139"/>
      <x:c r="J204" s="139"/>
      <x:c r="K204" s="145"/>
      <x:c r="L204" s="145"/>
      <x:c r="M204" s="39"/>
      <x:c r="N204" s="39"/>
      <x:c r="O204" s="39"/>
      <x:c r="P204" s="39"/>
      <x:c r="Q204" s="139"/>
      <x:c r="R204" s="139"/>
      <x:c r="S204" s="139"/>
      <x:c r="T204" s="145"/>
      <x:c r="U204" s="145"/>
      <x:c r="V204" s="39"/>
      <x:c r="W204" s="39"/>
      <x:c r="X204" s="39"/>
      <x:c r="Y204" s="39"/>
      <x:c r="Z204" s="139"/>
      <x:c r="AA204" s="139"/>
      <x:c r="AB204" s="139"/>
      <x:c r="AC204" s="145"/>
      <x:c r="AD204" s="145"/>
      <x:c r="AE204" s="39"/>
      <x:c r="AF204" s="48" t="str">
        <x:f>IF(OR(G204="",I204="",J204&lt;&gt;""),"",IF(I204&lt;'요약'!$B$2,"만료",(YEAR(I204)-YEAR('요약'!$B$2))*12+MONTH(I204)-MONTH('요약'!$B$2)))</x:f>
      </x:c>
      <x:c r="AG204" s="48" t="str">
        <x:f>IF(G204="","",IF(AF204="만료","만료",IF(AF204=0,"이달",IF(AF204=1,"다음달",IF(AF204&lt;=3,"3개월 내","장기")))))</x:f>
      </x:c>
    </x:row>
  </x:sheetData>
  <x:mergeCells>
    <x:mergeCell ref="A1:AE1"/>
    <x:mergeCell ref="A2:AE2"/>
    <x:mergeCell ref="A3:A4"/>
    <x:mergeCell ref="B3:B4"/>
    <x:mergeCell ref="C3:C4"/>
    <x:mergeCell ref="D3:D4"/>
    <x:mergeCell ref="E3:M3"/>
    <x:mergeCell ref="N3:V3"/>
    <x:mergeCell ref="W3:AE3"/>
  </x:mergeCells>
  <x:conditionalFormatting sqref="I5:I204">
    <x:cfRule type="expression" dxfId="3" priority="1">
      <x:formula>AND($I5&lt;&gt;"",$J5="",$I5&lt;'요약'!$B$2)</x:formula>
    </x:cfRule>
  </x:conditionalFormatting>
  <x:dataValidations count="3">
    <x:dataValidation type="list" sqref="E5:E204">
      <x:formula1>"개인,법인,사고대차,장기렌트,월렌트,일렌트"</x:formula1>
    </x:dataValidation>
    <x:dataValidation type="list" sqref="N5:N204">
      <x:formula1>"개인,법인,사고대차,장기렌트,월렌트,일렌트"</x:formula1>
    </x:dataValidation>
    <x:dataValidation type="list" sqref="W5:W204">
      <x:formula1>"개인,법인,사고대차,장기렌트,월렌트,일렌트"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" hidden="0" customWidth="1"/>
    <x:col min="2" max="2" width="12.5" hidden="0" customWidth="1"/>
    <x:col min="3" max="3" width="13" hidden="0" customWidth="1"/>
    <x:col min="4" max="4" width="8" hidden="0" customWidth="1"/>
    <x:col min="5" max="5" width="13.5" hidden="0" customWidth="1"/>
    <x:col min="6" max="6" width="11.5" hidden="0" customWidth="1"/>
    <x:col min="7" max="7" width="11.5" hidden="0" customWidth="1"/>
    <x:col min="8" max="8" width="11.5" hidden="0" customWidth="1"/>
    <x:col min="9" max="9" width="10.5" hidden="0" customWidth="1"/>
    <x:col min="10" max="10" width="12.5" hidden="0" customWidth="1"/>
    <x:col min="11" max="11" width="11.5" hidden="0" customWidth="1"/>
    <x:col min="12" max="12" width="11.5" hidden="0" customWidth="1"/>
    <x:col min="13" max="13" width="11.5" hidden="0" customWidth="1"/>
    <x:col min="14" max="14" width="10.5" hidden="0" customWidth="1"/>
    <x:col min="15" max="15" width="12.5" hidden="0" customWidth="1"/>
    <x:col min="16" max="16" width="11.5" hidden="0" customWidth="1"/>
    <x:col min="17" max="17" width="11.5" hidden="0" customWidth="1"/>
    <x:col min="18" max="18" width="11.5" hidden="0" customWidth="1"/>
    <x:col min="19" max="19" width="10.5" hidden="0" customWidth="1"/>
    <x:col min="20" max="20" width="12.5" hidden="0" customWidth="1"/>
    <x:col min="21" max="21" width="12.5" hidden="0" customWidth="1"/>
    <x:col min="22" max="22" width="12.5" hidden="0" customWidth="1"/>
    <x:col min="23" max="23" width="11.5" hidden="0" customWidth="1"/>
    <x:col min="24" max="24" width="12.5" hidden="0" customWidth="1"/>
    <x:col min="25" max="25" width="9.25" hidden="0" customWidth="1"/>
  </x:cols>
  <x:sheetData>
    <x:row r="1" ht="34.5" customHeight="1">
      <x:c r="A1" s="4" t="str">
        <x:v>수납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  <x:c r="Z1" s="1"/>
      <x:c r="AA1" s="1"/>
      <x:c r="AB1" s="1"/>
      <x:c r="AC1" s="1"/>
      <x:c r="AD1" s="1"/>
      <x:c r="AE1" s="1"/>
    </x:row>
    <x:row r="2" ht="22.5" customHeight="1">
      <x:c r="A2" s="8" t="str">
        <x:v>월별 청구와 실제 결제를 입력합니다. 미납은 전월잔액 + 당월청구 − 당월결제로 자동 계산됩니다.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  <x:c r="M2" s="8"/>
      <x:c r="N2" s="8"/>
      <x:c r="O2" s="8"/>
      <x:c r="P2" s="8"/>
      <x:c r="Q2" s="8"/>
      <x:c r="R2" s="8"/>
      <x:c r="S2" s="8"/>
      <x:c r="T2" s="8"/>
      <x:c r="U2" s="8"/>
      <x:c r="V2" s="8"/>
      <x:c r="W2" s="8"/>
      <x:c r="X2" s="8"/>
      <x:c r="Y2" s="8"/>
      <x:c r="Z2" s="1"/>
      <x:c r="AA2" s="1"/>
      <x:c r="AB2" s="1"/>
      <x:c r="AC2" s="1"/>
      <x:c r="AD2" s="1"/>
      <x:c r="AE2" s="1"/>
    </x:row>
    <x:row r="3">
      <x:c r="A3" s="58" t="str">
        <x:v>번호</x:v>
      </x:c>
      <x:c r="B3" s="59" t="str">
        <x:v>차번</x:v>
      </x:c>
      <x:c r="C3" s="59" t="str">
        <x:v>고객명</x:v>
      </x:c>
      <x:c r="D3" s="59" t="str">
        <x:v>결제일</x:v>
      </x:c>
      <x:c r="E3" s="60" t="str">
        <x:v>현재잔액</x:v>
      </x:c>
      <x:c r="F3" s="166" t="str">
        <x:v>26-08</x:v>
      </x:c>
      <x:c r="G3" s="167"/>
      <x:c r="H3" s="167"/>
      <x:c r="I3" s="167"/>
      <x:c r="J3" s="168"/>
      <x:c r="K3" s="192" t="str">
        <x:v>26-07</x:v>
      </x:c>
      <x:c r="L3" s="193"/>
      <x:c r="M3" s="193"/>
      <x:c r="N3" s="193"/>
      <x:c r="O3" s="194"/>
      <x:c r="P3" s="218" t="str">
        <x:v>26-06</x:v>
      </x:c>
      <x:c r="Q3" s="219"/>
      <x:c r="R3" s="219"/>
      <x:c r="S3" s="219"/>
      <x:c r="T3" s="220"/>
      <x:c r="U3" s="244" t="str">
        <x:v>위약금</x:v>
      </x:c>
      <x:c r="V3" s="245"/>
      <x:c r="W3" s="245"/>
      <x:c r="X3" s="246"/>
      <x:c r="Y3" s="252" t="str">
        <x:v>연체개월
(자동)</x:v>
      </x:c>
      <x:c r="Z3" s="1"/>
      <x:c r="AA3" s="1"/>
      <x:c r="AB3" s="1"/>
      <x:c r="AC3" s="1"/>
      <x:c r="AD3" s="1"/>
      <x:c r="AE3" s="1"/>
    </x:row>
    <x:row r="4">
      <x:c r="A4" s="22"/>
      <x:c r="B4" s="23"/>
      <x:c r="C4" s="23"/>
      <x:c r="D4" s="23"/>
      <x:c r="E4" s="24"/>
      <x:c r="F4" s="169" t="str">
        <x:v>청구</x:v>
      </x:c>
      <x:c r="G4" s="170" t="str">
        <x:v>결제</x:v>
      </x:c>
      <x:c r="H4" s="170" t="str">
        <x:v>결제일자</x:v>
      </x:c>
      <x:c r="I4" s="170" t="str">
        <x:v>수단</x:v>
      </x:c>
      <x:c r="J4" s="171" t="str">
        <x:v>미납</x:v>
      </x:c>
      <x:c r="K4" s="195" t="str">
        <x:v>청구</x:v>
      </x:c>
      <x:c r="L4" s="196" t="str">
        <x:v>결제</x:v>
      </x:c>
      <x:c r="M4" s="196" t="str">
        <x:v>결제일자</x:v>
      </x:c>
      <x:c r="N4" s="196" t="str">
        <x:v>수단</x:v>
      </x:c>
      <x:c r="O4" s="197" t="str">
        <x:v>미납</x:v>
      </x:c>
      <x:c r="P4" s="221" t="str">
        <x:v>청구</x:v>
      </x:c>
      <x:c r="Q4" s="222" t="str">
        <x:v>결제</x:v>
      </x:c>
      <x:c r="R4" s="222" t="str">
        <x:v>결제일자</x:v>
      </x:c>
      <x:c r="S4" s="222" t="str">
        <x:v>수단</x:v>
      </x:c>
      <x:c r="T4" s="223" t="str">
        <x:v>미납</x:v>
      </x:c>
      <x:c r="U4" s="247" t="str">
        <x:v>청구액</x:v>
      </x:c>
      <x:c r="V4" s="248" t="str">
        <x:v>수납액</x:v>
      </x:c>
      <x:c r="W4" s="248" t="str">
        <x:v>수납일</x:v>
      </x:c>
      <x:c r="X4" s="249" t="str">
        <x:v>잔액</x:v>
      </x:c>
      <x:c r="Y4" s="30" t="str">
        <x:v>연체개월</x:v>
      </x:c>
      <x:c r="Z4" s="1"/>
      <x:c r="AA4" s="1"/>
      <x:c r="AB4" s="1"/>
      <x:c r="AC4" s="1"/>
      <x:c r="AD4" s="1"/>
      <x:c r="AE4" s="1"/>
    </x:row>
    <x:row r="5" ht="18" customHeight="1">
      <x:c r="A5" s="37" t="n">
        <x:v>1</x:v>
      </x:c>
      <x:c r="B5" s="37" t="str">
        <x:v>231가4820</x:v>
      </x:c>
      <x:c r="C5" s="37" t="str">
        <x:v>김성호</x:v>
      </x:c>
      <x:c r="D5" s="37" t="str">
        <x:v>05일</x:v>
      </x:c>
      <x:c r="E5" s="262" t="n">
        <x:f>IF(B5="","",J5)</x:f>
        <x:v>0</x:v>
      </x:c>
      <x:c r="F5" s="143" t="n">
        <x:v>890000</x:v>
      </x:c>
      <x:c r="G5" s="143" t="n">
        <x:v>890000</x:v>
      </x:c>
      <x:c r="H5" s="137" t="n">
        <x:v>46239</x:v>
      </x:c>
      <x:c r="I5" s="37" t="str">
        <x:v>자동이체</x:v>
      </x:c>
      <x:c r="J5" s="262" t="n">
        <x:f>IF(B5="","",MAX(0,O5+F5-G5))</x:f>
        <x:v>0</x:v>
      </x:c>
      <x:c r="K5" s="143" t="n">
        <x:v>890000</x:v>
      </x:c>
      <x:c r="L5" s="143" t="n">
        <x:v>890000</x:v>
      </x:c>
      <x:c r="M5" s="137" t="n">
        <x:v>46208</x:v>
      </x:c>
      <x:c r="N5" s="37" t="str">
        <x:v>자동이체</x:v>
      </x:c>
      <x:c r="O5" s="262" t="n">
        <x:f>IF(B5="","",MAX(0,T5+K5-L5))</x:f>
        <x:v>0</x:v>
      </x:c>
      <x:c r="P5" s="143" t="n">
        <x:v>890000</x:v>
      </x:c>
      <x:c r="Q5" s="143" t="n">
        <x:v>890000</x:v>
      </x:c>
      <x:c r="R5" s="137" t="n">
        <x:v>46178</x:v>
      </x:c>
      <x:c r="S5" s="37" t="str">
        <x:v>자동이체</x:v>
      </x:c>
      <x:c r="T5" s="262" t="n">
        <x:f>IF(B5="","",MAX(0,P5-Q5))</x:f>
        <x:v>0</x:v>
      </x:c>
      <x:c r="U5" s="143" t="n">
        <x:v>0</x:v>
      </x:c>
      <x:c r="V5" s="143" t="n">
        <x:v>0</x:v>
      </x:c>
      <x:c r="W5" s="137" t="str"/>
      <x:c r="X5" s="262" t="n">
        <x:f>IF(B5="","",MAX(0,U5-V5))</x:f>
        <x:v>0</x:v>
      </x:c>
      <x:c r="Y5" s="256" t="n">
        <x:f>IF(B5="","",IF(E5&lt;=0,0,IF(T5&gt;0,3,IF(O5&gt;0,2,1))))</x:f>
        <x:v>0</x:v>
      </x:c>
      <x:c r="Z5" s="1"/>
      <x:c r="AA5" s="1"/>
      <x:c r="AB5" s="1"/>
      <x:c r="AC5" s="1"/>
      <x:c r="AD5" s="1"/>
      <x:c r="AE5" s="1"/>
    </x:row>
    <x:row r="6" ht="18" customHeight="1">
      <x:c r="A6" s="38" t="n">
        <x:v>2</x:v>
      </x:c>
      <x:c r="B6" s="38" t="str">
        <x:v>45나7719</x:v>
      </x:c>
      <x:c r="C6" s="38" t="str">
        <x:v>이재원</x:v>
      </x:c>
      <x:c r="D6" s="38" t="str">
        <x:v>10일</x:v>
      </x:c>
      <x:c r="E6" s="263" t="n">
        <x:f>IF(B6="","",J6)</x:f>
        <x:v>2060000</x:v>
      </x:c>
      <x:c r="F6" s="144" t="n">
        <x:v>1150000</x:v>
      </x:c>
      <x:c r="G6" s="144" t="n">
        <x:v>0</x:v>
      </x:c>
      <x:c r="H6" s="138" t="str"/>
      <x:c r="I6" s="38" t="str"/>
      <x:c r="J6" s="263" t="n">
        <x:f>IF(B6="","",MAX(0,O6+F6-G6))</x:f>
        <x:v>2060000</x:v>
      </x:c>
      <x:c r="K6" s="144" t="n">
        <x:v>1150000</x:v>
      </x:c>
      <x:c r="L6" s="144" t="n">
        <x:v>240000</x:v>
      </x:c>
      <x:c r="M6" s="138" t="n">
        <x:v>46215</x:v>
      </x:c>
      <x:c r="N6" s="38" t="str">
        <x:v>계좌</x:v>
      </x:c>
      <x:c r="O6" s="263" t="n">
        <x:f>IF(B6="","",MAX(0,T6+K6-L6))</x:f>
        <x:v>910000</x:v>
      </x:c>
      <x:c r="P6" s="144" t="n">
        <x:v>1150000</x:v>
      </x:c>
      <x:c r="Q6" s="144" t="n">
        <x:v>1150000</x:v>
      </x:c>
      <x:c r="R6" s="138" t="n">
        <x:v>46183</x:v>
      </x:c>
      <x:c r="S6" s="38" t="str">
        <x:v>계좌</x:v>
      </x:c>
      <x:c r="T6" s="263" t="n">
        <x:f>IF(B6="","",MAX(0,P6-Q6))</x:f>
        <x:v>0</x:v>
      </x:c>
      <x:c r="U6" s="144" t="n">
        <x:v>0</x:v>
      </x:c>
      <x:c r="V6" s="144" t="n">
        <x:v>0</x:v>
      </x:c>
      <x:c r="W6" s="138" t="str"/>
      <x:c r="X6" s="263" t="n">
        <x:f>IF(B6="","",MAX(0,U6-V6))</x:f>
        <x:v>0</x:v>
      </x:c>
      <x:c r="Y6" s="257" t="n">
        <x:f>IF(B6="","",IF(E6&lt;=0,0,IF(T6&gt;0,3,IF(O6&gt;0,2,1))))</x:f>
        <x:v>2</x:v>
      </x:c>
      <x:c r="Z6" s="1"/>
      <x:c r="AA6" s="1"/>
      <x:c r="AB6" s="1"/>
      <x:c r="AC6" s="1"/>
      <x:c r="AD6" s="1"/>
      <x:c r="AE6" s="1"/>
    </x:row>
    <x:row r="7" ht="18" customHeight="1">
      <x:c r="A7" s="38" t="n">
        <x:v>3</x:v>
      </x:c>
      <x:c r="B7" s="38" t="str">
        <x:v>03머0389</x:v>
      </x:c>
      <x:c r="C7" s="38" t="str">
        <x:v>박민정</x:v>
      </x:c>
      <x:c r="D7" s="38" t="str">
        <x:v>25일</x:v>
      </x:c>
      <x:c r="E7" s="263" t="n">
        <x:f>IF(B7="","",J7)</x:f>
        <x:v>2060000</x:v>
      </x:c>
      <x:c r="F7" s="144" t="n">
        <x:v>1030000</x:v>
      </x:c>
      <x:c r="G7" s="144" t="n">
        <x:v>0</x:v>
      </x:c>
      <x:c r="H7" s="138" t="str"/>
      <x:c r="I7" s="38" t="str"/>
      <x:c r="J7" s="263" t="n">
        <x:f>IF(B7="","",MAX(0,O7+F7-G7))</x:f>
        <x:v>2060000</x:v>
      </x:c>
      <x:c r="K7" s="144" t="n">
        <x:v>1030000</x:v>
      </x:c>
      <x:c r="L7" s="144" t="n">
        <x:v>0</x:v>
      </x:c>
      <x:c r="M7" s="138" t="str"/>
      <x:c r="N7" s="38" t="str"/>
      <x:c r="O7" s="263" t="n">
        <x:f>IF(B7="","",MAX(0,T7+K7-L7))</x:f>
        <x:v>1030000</x:v>
      </x:c>
      <x:c r="P7" s="144" t="n">
        <x:v>1030000</x:v>
      </x:c>
      <x:c r="Q7" s="144" t="n">
        <x:v>1030000</x:v>
      </x:c>
      <x:c r="R7" s="138" t="n">
        <x:v>46198</x:v>
      </x:c>
      <x:c r="S7" s="38" t="str">
        <x:v>카드</x:v>
      </x:c>
      <x:c r="T7" s="263" t="n">
        <x:f>IF(B7="","",MAX(0,P7-Q7))</x:f>
        <x:v>0</x:v>
      </x:c>
      <x:c r="U7" s="144" t="n">
        <x:v>0</x:v>
      </x:c>
      <x:c r="V7" s="144" t="n">
        <x:v>0</x:v>
      </x:c>
      <x:c r="W7" s="138" t="str"/>
      <x:c r="X7" s="263" t="n">
        <x:f>IF(B7="","",MAX(0,U7-V7))</x:f>
        <x:v>0</x:v>
      </x:c>
      <x:c r="Y7" s="257" t="n">
        <x:f>IF(B7="","",IF(E7&lt;=0,0,IF(T7&gt;0,3,IF(O7&gt;0,2,1))))</x:f>
        <x:v>2</x:v>
      </x:c>
      <x:c r="Z7" s="1"/>
      <x:c r="AA7" s="1"/>
      <x:c r="AB7" s="1"/>
      <x:c r="AC7" s="1"/>
      <x:c r="AD7" s="1"/>
      <x:c r="AE7" s="1"/>
    </x:row>
    <x:row r="8" ht="18" customHeight="1">
      <x:c r="A8" s="38" t="n">
        <x:v>4</x:v>
      </x:c>
      <x:c r="B8" s="38" t="str">
        <x:v>187허2264</x:v>
      </x:c>
      <x:c r="C8" s="38" t="str"/>
      <x:c r="D8" s="38" t="str"/>
      <x:c r="E8" s="263" t="n">
        <x:f>IF(B8="","",J8)</x:f>
        <x:v>0</x:v>
      </x:c>
      <x:c r="F8" s="144" t="n">
        <x:v>0</x:v>
      </x:c>
      <x:c r="G8" s="144" t="n">
        <x:v>0</x:v>
      </x:c>
      <x:c r="H8" s="138" t="str"/>
      <x:c r="I8" s="38" t="str"/>
      <x:c r="J8" s="263" t="n">
        <x:f>IF(B8="","",MAX(0,O8+F8-G8))</x:f>
        <x:v>0</x:v>
      </x:c>
      <x:c r="K8" s="144" t="n">
        <x:v>0</x:v>
      </x:c>
      <x:c r="L8" s="144" t="n">
        <x:v>0</x:v>
      </x:c>
      <x:c r="M8" s="138" t="str"/>
      <x:c r="N8" s="38" t="str"/>
      <x:c r="O8" s="263" t="n">
        <x:f>IF(B8="","",MAX(0,T8+K8-L8))</x:f>
        <x:v>0</x:v>
      </x:c>
      <x:c r="P8" s="144" t="n">
        <x:v>0</x:v>
      </x:c>
      <x:c r="Q8" s="144" t="n">
        <x:v>0</x:v>
      </x:c>
      <x:c r="R8" s="138" t="str"/>
      <x:c r="S8" s="38" t="str"/>
      <x:c r="T8" s="263" t="n">
        <x:f>IF(B8="","",MAX(0,P8-Q8))</x:f>
        <x:v>0</x:v>
      </x:c>
      <x:c r="U8" s="144" t="n">
        <x:v>0</x:v>
      </x:c>
      <x:c r="V8" s="144" t="n">
        <x:v>0</x:v>
      </x:c>
      <x:c r="W8" s="138" t="str"/>
      <x:c r="X8" s="263" t="n">
        <x:f>IF(B8="","",MAX(0,U8-V8))</x:f>
        <x:v>0</x:v>
      </x:c>
      <x:c r="Y8" s="257" t="n">
        <x:f>IF(B8="","",IF(E8&lt;=0,0,IF(T8&gt;0,3,IF(O8&gt;0,2,1))))</x:f>
        <x:v>0</x:v>
      </x:c>
      <x:c r="Z8" s="1"/>
      <x:c r="AA8" s="1"/>
      <x:c r="AB8" s="1"/>
      <x:c r="AC8" s="1"/>
      <x:c r="AD8" s="1"/>
      <x:c r="AE8" s="1"/>
    </x:row>
    <x:row r="9" ht="18" customHeight="1">
      <x:c r="A9" s="38" t="n">
        <x:v>5</x:v>
      </x:c>
      <x:c r="B9" s="38" t="str">
        <x:v>92소5513</x:v>
      </x:c>
      <x:c r="C9" s="38" t="str">
        <x:v>오세영</x:v>
      </x:c>
      <x:c r="D9" s="38" t="str">
        <x:v>05일</x:v>
      </x:c>
      <x:c r="E9" s="263" t="n">
        <x:f>IF(B9="","",J9)</x:f>
        <x:v>0</x:v>
      </x:c>
      <x:c r="F9" s="144" t="n">
        <x:v>1020000</x:v>
      </x:c>
      <x:c r="G9" s="144" t="n">
        <x:v>1020000</x:v>
      </x:c>
      <x:c r="H9" s="138" t="n">
        <x:v>46239</x:v>
      </x:c>
      <x:c r="I9" s="38" t="str">
        <x:v>자동이체</x:v>
      </x:c>
      <x:c r="J9" s="263" t="n">
        <x:f>IF(B9="","",MAX(0,O9+F9-G9))</x:f>
        <x:v>0</x:v>
      </x:c>
      <x:c r="K9" s="144" t="n">
        <x:v>1020000</x:v>
      </x:c>
      <x:c r="L9" s="144" t="n">
        <x:v>1020000</x:v>
      </x:c>
      <x:c r="M9" s="138" t="n">
        <x:v>46208</x:v>
      </x:c>
      <x:c r="N9" s="38" t="str">
        <x:v>자동이체</x:v>
      </x:c>
      <x:c r="O9" s="263" t="n">
        <x:f>IF(B9="","",MAX(0,T9+K9-L9))</x:f>
        <x:v>0</x:v>
      </x:c>
      <x:c r="P9" s="144" t="n">
        <x:v>1020000</x:v>
      </x:c>
      <x:c r="Q9" s="144" t="n">
        <x:v>1020000</x:v>
      </x:c>
      <x:c r="R9" s="138" t="n">
        <x:v>46178</x:v>
      </x:c>
      <x:c r="S9" s="38" t="str">
        <x:v>자동이체</x:v>
      </x:c>
      <x:c r="T9" s="263" t="n">
        <x:f>IF(B9="","",MAX(0,P9-Q9))</x:f>
        <x:v>0</x:v>
      </x:c>
      <x:c r="U9" s="144" t="n">
        <x:v>0</x:v>
      </x:c>
      <x:c r="V9" s="144" t="n">
        <x:v>0</x:v>
      </x:c>
      <x:c r="W9" s="138" t="str"/>
      <x:c r="X9" s="263" t="n">
        <x:f>IF(B9="","",MAX(0,U9-V9))</x:f>
        <x:v>0</x:v>
      </x:c>
      <x:c r="Y9" s="257" t="n">
        <x:f>IF(B9="","",IF(E9&lt;=0,0,IF(T9&gt;0,3,IF(O9&gt;0,2,1))))</x:f>
        <x:v>0</x:v>
      </x:c>
      <x:c r="Z9" s="1"/>
      <x:c r="AA9" s="1"/>
      <x:c r="AB9" s="1"/>
      <x:c r="AC9" s="1"/>
      <x:c r="AD9" s="1"/>
      <x:c r="AE9" s="1"/>
    </x:row>
    <x:row r="10" ht="18" customHeight="1">
      <x:c r="A10" s="38" t="n">
        <x:v>6</x:v>
      </x:c>
      <x:c r="B10" s="38" t="str">
        <x:v>318수9047</x:v>
      </x:c>
      <x:c r="C10" s="38" t="str">
        <x:v>장태윤</x:v>
      </x:c>
      <x:c r="D10" s="38" t="str">
        <x:v>10일</x:v>
      </x:c>
      <x:c r="E10" s="263" t="n">
        <x:f>IF(B10="","",J10)</x:f>
        <x:v>560000</x:v>
      </x:c>
      <x:c r="F10" s="144" t="n">
        <x:v>0</x:v>
      </x:c>
      <x:c r="G10" s="144" t="n">
        <x:v>0</x:v>
      </x:c>
      <x:c r="H10" s="138" t="str"/>
      <x:c r="I10" s="38" t="str"/>
      <x:c r="J10" s="263" t="n">
        <x:f>IF(B10="","",MAX(0,O10+F10-G10))</x:f>
        <x:v>560000</x:v>
      </x:c>
      <x:c r="K10" s="144" t="n">
        <x:v>560000</x:v>
      </x:c>
      <x:c r="L10" s="144" t="n">
        <x:v>0</x:v>
      </x:c>
      <x:c r="M10" s="138" t="str"/>
      <x:c r="N10" s="38" t="str"/>
      <x:c r="O10" s="263" t="n">
        <x:f>IF(B10="","",MAX(0,T10+K10-L10))</x:f>
        <x:v>560000</x:v>
      </x:c>
      <x:c r="P10" s="144" t="n">
        <x:v>560000</x:v>
      </x:c>
      <x:c r="Q10" s="144" t="n">
        <x:v>560000</x:v>
      </x:c>
      <x:c r="R10" s="138" t="n">
        <x:v>46183</x:v>
      </x:c>
      <x:c r="S10" s="38" t="str">
        <x:v>계좌</x:v>
      </x:c>
      <x:c r="T10" s="263" t="n">
        <x:f>IF(B10="","",MAX(0,P10-Q10))</x:f>
        <x:v>0</x:v>
      </x:c>
      <x:c r="U10" s="144" t="n">
        <x:v>0</x:v>
      </x:c>
      <x:c r="V10" s="144" t="n">
        <x:v>0</x:v>
      </x:c>
      <x:c r="W10" s="138" t="str"/>
      <x:c r="X10" s="263" t="n">
        <x:f>IF(B10="","",MAX(0,U10-V10))</x:f>
        <x:v>0</x:v>
      </x:c>
      <x:c r="Y10" s="257" t="n">
        <x:f>IF(B10="","",IF(E10&lt;=0,0,IF(T10&gt;0,3,IF(O10&gt;0,2,1))))</x:f>
        <x:v>2</x:v>
      </x:c>
      <x:c r="Z10" s="1"/>
      <x:c r="AA10" s="1"/>
      <x:c r="AB10" s="1"/>
      <x:c r="AC10" s="1"/>
      <x:c r="AD10" s="1"/>
      <x:c r="AE10" s="1"/>
    </x:row>
    <x:row r="11" ht="18" customHeight="1">
      <x:c r="A11" s="38" t="n">
        <x:v>7</x:v>
      </x:c>
      <x:c r="B11" s="38" t="str">
        <x:v>76조1188</x:v>
      </x:c>
      <x:c r="C11" s="38" t="str"/>
      <x:c r="D11" s="38" t="str"/>
      <x:c r="E11" s="263" t="n">
        <x:f>IF(B11="","",J11)</x:f>
        <x:v>0</x:v>
      </x:c>
      <x:c r="F11" s="144" t="n">
        <x:v>0</x:v>
      </x:c>
      <x:c r="G11" s="144" t="n">
        <x:v>0</x:v>
      </x:c>
      <x:c r="H11" s="138" t="str"/>
      <x:c r="I11" s="38" t="str"/>
      <x:c r="J11" s="263" t="n">
        <x:f>IF(B11="","",MAX(0,O11+F11-G11))</x:f>
        <x:v>0</x:v>
      </x:c>
      <x:c r="K11" s="144" t="n">
        <x:v>0</x:v>
      </x:c>
      <x:c r="L11" s="144" t="n">
        <x:v>0</x:v>
      </x:c>
      <x:c r="M11" s="138" t="str"/>
      <x:c r="N11" s="38" t="str"/>
      <x:c r="O11" s="263" t="n">
        <x:f>IF(B11="","",MAX(0,T11+K11-L11))</x:f>
        <x:v>0</x:v>
      </x:c>
      <x:c r="P11" s="144" t="n">
        <x:v>0</x:v>
      </x:c>
      <x:c r="Q11" s="144" t="n">
        <x:v>0</x:v>
      </x:c>
      <x:c r="R11" s="138" t="str"/>
      <x:c r="S11" s="38" t="str"/>
      <x:c r="T11" s="263" t="n">
        <x:f>IF(B11="","",MAX(0,P11-Q11))</x:f>
        <x:v>0</x:v>
      </x:c>
      <x:c r="U11" s="144" t="n">
        <x:v>0</x:v>
      </x:c>
      <x:c r="V11" s="144" t="n">
        <x:v>0</x:v>
      </x:c>
      <x:c r="W11" s="138" t="str"/>
      <x:c r="X11" s="263" t="n">
        <x:f>IF(B11="","",MAX(0,U11-V11))</x:f>
        <x:v>0</x:v>
      </x:c>
      <x:c r="Y11" s="257" t="n">
        <x:f>IF(B11="","",IF(E11&lt;=0,0,IF(T11&gt;0,3,IF(O11&gt;0,2,1))))</x:f>
        <x:v>0</x:v>
      </x:c>
      <x:c r="Z11" s="1"/>
      <x:c r="AA11" s="1"/>
      <x:c r="AB11" s="1"/>
      <x:c r="AC11" s="1"/>
      <x:c r="AD11" s="1"/>
      <x:c r="AE11" s="1"/>
    </x:row>
    <x:row r="12" ht="18" customHeight="1">
      <x:c r="A12" s="38" t="n">
        <x:v>8</x:v>
      </x:c>
      <x:c r="B12" s="38" t="str">
        <x:v>264라3396</x:v>
      </x:c>
      <x:c r="C12" s="38" t="str">
        <x:v>윤도현</x:v>
      </x:c>
      <x:c r="D12" s="38" t="str">
        <x:v>25일</x:v>
      </x:c>
      <x:c r="E12" s="263" t="n">
        <x:f>IF(B12="","",J12)</x:f>
        <x:v>0</x:v>
      </x:c>
      <x:c r="F12" s="144" t="n">
        <x:v>1280000</x:v>
      </x:c>
      <x:c r="G12" s="144" t="n">
        <x:v>1280000</x:v>
      </x:c>
      <x:c r="H12" s="138" t="n">
        <x:v>46259</x:v>
      </x:c>
      <x:c r="I12" s="38" t="str">
        <x:v>계좌</x:v>
      </x:c>
      <x:c r="J12" s="263" t="n">
        <x:f>IF(B12="","",MAX(0,O12+F12-G12))</x:f>
        <x:v>0</x:v>
      </x:c>
      <x:c r="K12" s="144" t="n">
        <x:v>1280000</x:v>
      </x:c>
      <x:c r="L12" s="144" t="n">
        <x:v>1280000</x:v>
      </x:c>
      <x:c r="M12" s="138" t="n">
        <x:v>46228</x:v>
      </x:c>
      <x:c r="N12" s="38" t="str">
        <x:v>계좌</x:v>
      </x:c>
      <x:c r="O12" s="263" t="n">
        <x:f>IF(B12="","",MAX(0,T12+K12-L12))</x:f>
        <x:v>0</x:v>
      </x:c>
      <x:c r="P12" s="144" t="n">
        <x:v>1280000</x:v>
      </x:c>
      <x:c r="Q12" s="144" t="n">
        <x:v>1280000</x:v>
      </x:c>
      <x:c r="R12" s="138" t="n">
        <x:v>46198</x:v>
      </x:c>
      <x:c r="S12" s="38" t="str">
        <x:v>계좌</x:v>
      </x:c>
      <x:c r="T12" s="263" t="n">
        <x:f>IF(B12="","",MAX(0,P12-Q12))</x:f>
        <x:v>0</x:v>
      </x:c>
      <x:c r="U12" s="144" t="n">
        <x:v>0</x:v>
      </x:c>
      <x:c r="V12" s="144" t="n">
        <x:v>0</x:v>
      </x:c>
      <x:c r="W12" s="138" t="str"/>
      <x:c r="X12" s="263" t="n">
        <x:f>IF(B12="","",MAX(0,U12-V12))</x:f>
        <x:v>0</x:v>
      </x:c>
      <x:c r="Y12" s="257" t="n">
        <x:f>IF(B12="","",IF(E12&lt;=0,0,IF(T12&gt;0,3,IF(O12&gt;0,2,1))))</x:f>
        <x:v>0</x:v>
      </x:c>
      <x:c r="Z12" s="1"/>
      <x:c r="AA12" s="1"/>
      <x:c r="AB12" s="1"/>
      <x:c r="AC12" s="1"/>
      <x:c r="AD12" s="1"/>
      <x:c r="AE12" s="1"/>
    </x:row>
    <x:row r="13" ht="18" customHeight="1">
      <x:c r="A13" s="38" t="n">
        <x:v>9</x:v>
      </x:c>
      <x:c r="B13" s="38" t="str">
        <x:v>509부7731</x:v>
      </x:c>
      <x:c r="C13" s="38" t="str">
        <x:v>정하늘</x:v>
      </x:c>
      <x:c r="D13" s="38" t="str">
        <x:v>반납</x:v>
      </x:c>
      <x:c r="E13" s="263" t="n">
        <x:f>IF(B13="","",J13)</x:f>
        <x:v>1840000</x:v>
      </x:c>
      <x:c r="F13" s="144" t="n">
        <x:v>0</x:v>
      </x:c>
      <x:c r="G13" s="144" t="n">
        <x:v>0</x:v>
      </x:c>
      <x:c r="H13" s="138" t="str"/>
      <x:c r="I13" s="38" t="str"/>
      <x:c r="J13" s="263" t="n">
        <x:f>IF(B13="","",MAX(0,O13+F13-G13))</x:f>
        <x:v>1840000</x:v>
      </x:c>
      <x:c r="K13" s="144" t="n">
        <x:v>0</x:v>
      </x:c>
      <x:c r="L13" s="144" t="n">
        <x:v>400000</x:v>
      </x:c>
      <x:c r="M13" s="138" t="n">
        <x:v>46222</x:v>
      </x:c>
      <x:c r="N13" s="38" t="str">
        <x:v>계좌</x:v>
      </x:c>
      <x:c r="O13" s="263" t="n">
        <x:f>IF(B13="","",MAX(0,T13+K13-L13))</x:f>
        <x:v>1840000</x:v>
      </x:c>
      <x:c r="P13" s="144" t="n">
        <x:v>2240000</x:v>
      </x:c>
      <x:c r="Q13" s="144" t="n">
        <x:v>0</x:v>
      </x:c>
      <x:c r="R13" s="138" t="str"/>
      <x:c r="S13" s="38" t="str"/>
      <x:c r="T13" s="263" t="n">
        <x:f>IF(B13="","",MAX(0,P13-Q13))</x:f>
        <x:v>2240000</x:v>
      </x:c>
      <x:c r="U13" s="144" t="n">
        <x:v>4120000</x:v>
      </x:c>
      <x:c r="V13" s="144" t="n">
        <x:v>0</x:v>
      </x:c>
      <x:c r="W13" s="138" t="str"/>
      <x:c r="X13" s="263" t="n">
        <x:f>IF(B13="","",MAX(0,U13-V13))</x:f>
        <x:v>4120000</x:v>
      </x:c>
      <x:c r="Y13" s="257" t="n">
        <x:f>IF(B13="","",IF(E13&lt;=0,0,IF(T13&gt;0,3,IF(O13&gt;0,2,1))))</x:f>
        <x:v>3</x:v>
      </x:c>
      <x:c r="Z13" s="1"/>
      <x:c r="AA13" s="1"/>
      <x:c r="AB13" s="1"/>
      <x:c r="AC13" s="1"/>
      <x:c r="AD13" s="1"/>
      <x:c r="AE13" s="1"/>
    </x:row>
    <x:row r="14" ht="18" customHeight="1">
      <x:c r="A14" s="38" t="n">
        <x:v>10</x:v>
      </x:c>
      <x:c r="B14" s="38" t="str">
        <x:v>140머6628</x:v>
      </x:c>
      <x:c r="C14" s="38" t="str">
        <x:v>한대수</x:v>
      </x:c>
      <x:c r="D14" s="38" t="str">
        <x:v>반납</x:v>
      </x:c>
      <x:c r="E14" s="263" t="n">
        <x:f>IF(B14="","",J14)</x:f>
        <x:v>0</x:v>
      </x:c>
      <x:c r="F14" s="144" t="n">
        <x:v>0</x:v>
      </x:c>
      <x:c r="G14" s="144" t="n">
        <x:v>0</x:v>
      </x:c>
      <x:c r="H14" s="138" t="str"/>
      <x:c r="I14" s="38" t="str"/>
      <x:c r="J14" s="263" t="n">
        <x:f>IF(B14="","",MAX(0,O14+F14-G14))</x:f>
        <x:v>0</x:v>
      </x:c>
      <x:c r="K14" s="144" t="n">
        <x:v>0</x:v>
      </x:c>
      <x:c r="L14" s="144" t="n">
        <x:v>0</x:v>
      </x:c>
      <x:c r="M14" s="138" t="str"/>
      <x:c r="N14" s="38" t="str"/>
      <x:c r="O14" s="263" t="n">
        <x:f>IF(B14="","",MAX(0,T14+K14-L14))</x:f>
        <x:v>0</x:v>
      </x:c>
      <x:c r="P14" s="144" t="n">
        <x:v>0</x:v>
      </x:c>
      <x:c r="Q14" s="144" t="n">
        <x:v>0</x:v>
      </x:c>
      <x:c r="R14" s="138" t="str"/>
      <x:c r="S14" s="38" t="str"/>
      <x:c r="T14" s="263" t="n">
        <x:f>IF(B14="","",MAX(0,P14-Q14))</x:f>
        <x:v>0</x:v>
      </x:c>
      <x:c r="U14" s="144" t="n">
        <x:v>0</x:v>
      </x:c>
      <x:c r="V14" s="144" t="n">
        <x:v>0</x:v>
      </x:c>
      <x:c r="W14" s="138" t="str"/>
      <x:c r="X14" s="263" t="n">
        <x:f>IF(B14="","",MAX(0,U14-V14))</x:f>
        <x:v>0</x:v>
      </x:c>
      <x:c r="Y14" s="257" t="n">
        <x:f>IF(B14="","",IF(E14&lt;=0,0,IF(T14&gt;0,3,IF(O14&gt;0,2,1))))</x:f>
        <x:v>0</x:v>
      </x:c>
      <x:c r="Z14" s="1"/>
      <x:c r="AA14" s="1"/>
      <x:c r="AB14" s="1"/>
      <x:c r="AC14" s="1"/>
      <x:c r="AD14" s="1"/>
      <x:c r="AE14" s="1"/>
    </x:row>
    <x:row r="15" ht="18" customHeight="1">
      <x:c r="A15" s="38"/>
      <x:c r="B15" s="38"/>
      <x:c r="C15" s="38"/>
      <x:c r="D15" s="38"/>
      <x:c r="E15" s="263" t="str">
        <x:f>IF(B15="","",J15)</x:f>
      </x:c>
      <x:c r="F15" s="144"/>
      <x:c r="G15" s="144"/>
      <x:c r="H15" s="138"/>
      <x:c r="I15" s="38"/>
      <x:c r="J15" s="263" t="str">
        <x:f>IF(B15="","",MAX(0,O15+F15-G15))</x:f>
      </x:c>
      <x:c r="K15" s="144"/>
      <x:c r="L15" s="144"/>
      <x:c r="M15" s="138"/>
      <x:c r="N15" s="38"/>
      <x:c r="O15" s="263" t="str">
        <x:f>IF(B15="","",MAX(0,T15+K15-L15))</x:f>
      </x:c>
      <x:c r="P15" s="144"/>
      <x:c r="Q15" s="144"/>
      <x:c r="R15" s="138"/>
      <x:c r="S15" s="38"/>
      <x:c r="T15" s="263" t="str">
        <x:f>IF(B15="","",MAX(0,P15-Q15))</x:f>
      </x:c>
      <x:c r="U15" s="144"/>
      <x:c r="V15" s="144"/>
      <x:c r="W15" s="138"/>
      <x:c r="X15" s="263" t="str">
        <x:f>IF(B15="","",MAX(0,U15-V15))</x:f>
      </x:c>
      <x:c r="Y15" s="257" t="str">
        <x:f>IF(B15="","",IF(E15&lt;=0,0,IF(T15&gt;0,3,IF(O15&gt;0,2,1))))</x:f>
      </x:c>
      <x:c r="Z15" s="1"/>
      <x:c r="AA15" s="1"/>
      <x:c r="AB15" s="1"/>
      <x:c r="AC15" s="1"/>
      <x:c r="AD15" s="1"/>
      <x:c r="AE15" s="1"/>
    </x:row>
    <x:row r="16" ht="18" customHeight="1">
      <x:c r="A16" s="38"/>
      <x:c r="B16" s="38"/>
      <x:c r="C16" s="38"/>
      <x:c r="D16" s="38"/>
      <x:c r="E16" s="263" t="str">
        <x:f>IF(B16="","",J16)</x:f>
      </x:c>
      <x:c r="F16" s="144"/>
      <x:c r="G16" s="144"/>
      <x:c r="H16" s="138"/>
      <x:c r="I16" s="38"/>
      <x:c r="J16" s="263" t="str">
        <x:f>IF(B16="","",MAX(0,O16+F16-G16))</x:f>
      </x:c>
      <x:c r="K16" s="144"/>
      <x:c r="L16" s="144"/>
      <x:c r="M16" s="138"/>
      <x:c r="N16" s="38"/>
      <x:c r="O16" s="263" t="str">
        <x:f>IF(B16="","",MAX(0,T16+K16-L16))</x:f>
      </x:c>
      <x:c r="P16" s="144"/>
      <x:c r="Q16" s="144"/>
      <x:c r="R16" s="138"/>
      <x:c r="S16" s="38"/>
      <x:c r="T16" s="263" t="str">
        <x:f>IF(B16="","",MAX(0,P16-Q16))</x:f>
      </x:c>
      <x:c r="U16" s="144"/>
      <x:c r="V16" s="144"/>
      <x:c r="W16" s="138"/>
      <x:c r="X16" s="263" t="str">
        <x:f>IF(B16="","",MAX(0,U16-V16))</x:f>
      </x:c>
      <x:c r="Y16" s="257" t="str">
        <x:f>IF(B16="","",IF(E16&lt;=0,0,IF(T16&gt;0,3,IF(O16&gt;0,2,1))))</x:f>
      </x:c>
      <x:c r="Z16" s="1"/>
      <x:c r="AA16" s="1"/>
      <x:c r="AB16" s="1"/>
      <x:c r="AC16" s="1"/>
      <x:c r="AD16" s="1"/>
      <x:c r="AE16" s="1"/>
    </x:row>
    <x:row r="17" ht="18" customHeight="1">
      <x:c r="A17" s="38"/>
      <x:c r="B17" s="38"/>
      <x:c r="C17" s="38"/>
      <x:c r="D17" s="38"/>
      <x:c r="E17" s="263" t="str">
        <x:f>IF(B17="","",J17)</x:f>
      </x:c>
      <x:c r="F17" s="144"/>
      <x:c r="G17" s="144"/>
      <x:c r="H17" s="138"/>
      <x:c r="I17" s="38"/>
      <x:c r="J17" s="263" t="str">
        <x:f>IF(B17="","",MAX(0,O17+F17-G17))</x:f>
      </x:c>
      <x:c r="K17" s="144"/>
      <x:c r="L17" s="144"/>
      <x:c r="M17" s="138"/>
      <x:c r="N17" s="38"/>
      <x:c r="O17" s="263" t="str">
        <x:f>IF(B17="","",MAX(0,T17+K17-L17))</x:f>
      </x:c>
      <x:c r="P17" s="144"/>
      <x:c r="Q17" s="144"/>
      <x:c r="R17" s="138"/>
      <x:c r="S17" s="38"/>
      <x:c r="T17" s="263" t="str">
        <x:f>IF(B17="","",MAX(0,P17-Q17))</x:f>
      </x:c>
      <x:c r="U17" s="144"/>
      <x:c r="V17" s="144"/>
      <x:c r="W17" s="138"/>
      <x:c r="X17" s="263" t="str">
        <x:f>IF(B17="","",MAX(0,U17-V17))</x:f>
      </x:c>
      <x:c r="Y17" s="257" t="str">
        <x:f>IF(B17="","",IF(E17&lt;=0,0,IF(T17&gt;0,3,IF(O17&gt;0,2,1))))</x:f>
      </x:c>
      <x:c r="Z17" s="1"/>
      <x:c r="AA17" s="1"/>
      <x:c r="AB17" s="1"/>
      <x:c r="AC17" s="1"/>
      <x:c r="AD17" s="1"/>
      <x:c r="AE17" s="1"/>
    </x:row>
    <x:row r="18" ht="18" customHeight="1">
      <x:c r="A18" s="38"/>
      <x:c r="B18" s="38"/>
      <x:c r="C18" s="38"/>
      <x:c r="D18" s="38"/>
      <x:c r="E18" s="263" t="str">
        <x:f>IF(B18="","",J18)</x:f>
      </x:c>
      <x:c r="F18" s="144"/>
      <x:c r="G18" s="144"/>
      <x:c r="H18" s="138"/>
      <x:c r="I18" s="38"/>
      <x:c r="J18" s="263" t="str">
        <x:f>IF(B18="","",MAX(0,O18+F18-G18))</x:f>
      </x:c>
      <x:c r="K18" s="144"/>
      <x:c r="L18" s="144"/>
      <x:c r="M18" s="138"/>
      <x:c r="N18" s="38"/>
      <x:c r="O18" s="263" t="str">
        <x:f>IF(B18="","",MAX(0,T18+K18-L18))</x:f>
      </x:c>
      <x:c r="P18" s="144"/>
      <x:c r="Q18" s="144"/>
      <x:c r="R18" s="138"/>
      <x:c r="S18" s="38"/>
      <x:c r="T18" s="263" t="str">
        <x:f>IF(B18="","",MAX(0,P18-Q18))</x:f>
      </x:c>
      <x:c r="U18" s="144"/>
      <x:c r="V18" s="144"/>
      <x:c r="W18" s="138"/>
      <x:c r="X18" s="263" t="str">
        <x:f>IF(B18="","",MAX(0,U18-V18))</x:f>
      </x:c>
      <x:c r="Y18" s="257" t="str">
        <x:f>IF(B18="","",IF(E18&lt;=0,0,IF(T18&gt;0,3,IF(O18&gt;0,2,1))))</x:f>
      </x:c>
      <x:c r="Z18" s="1"/>
      <x:c r="AA18" s="1"/>
      <x:c r="AB18" s="1"/>
      <x:c r="AC18" s="1"/>
      <x:c r="AD18" s="1"/>
      <x:c r="AE18" s="1"/>
    </x:row>
    <x:row r="19" ht="18" customHeight="1">
      <x:c r="A19" s="38"/>
      <x:c r="B19" s="38"/>
      <x:c r="C19" s="38"/>
      <x:c r="D19" s="38"/>
      <x:c r="E19" s="263" t="str">
        <x:f>IF(B19="","",J19)</x:f>
      </x:c>
      <x:c r="F19" s="144"/>
      <x:c r="G19" s="144"/>
      <x:c r="H19" s="138"/>
      <x:c r="I19" s="38"/>
      <x:c r="J19" s="263" t="str">
        <x:f>IF(B19="","",MAX(0,O19+F19-G19))</x:f>
      </x:c>
      <x:c r="K19" s="144"/>
      <x:c r="L19" s="144"/>
      <x:c r="M19" s="138"/>
      <x:c r="N19" s="38"/>
      <x:c r="O19" s="263" t="str">
        <x:f>IF(B19="","",MAX(0,T19+K19-L19))</x:f>
      </x:c>
      <x:c r="P19" s="144"/>
      <x:c r="Q19" s="144"/>
      <x:c r="R19" s="138"/>
      <x:c r="S19" s="38"/>
      <x:c r="T19" s="263" t="str">
        <x:f>IF(B19="","",MAX(0,P19-Q19))</x:f>
      </x:c>
      <x:c r="U19" s="144"/>
      <x:c r="V19" s="144"/>
      <x:c r="W19" s="138"/>
      <x:c r="X19" s="263" t="str">
        <x:f>IF(B19="","",MAX(0,U19-V19))</x:f>
      </x:c>
      <x:c r="Y19" s="257" t="str">
        <x:f>IF(B19="","",IF(E19&lt;=0,0,IF(T19&gt;0,3,IF(O19&gt;0,2,1))))</x:f>
      </x:c>
      <x:c r="Z19" s="1"/>
      <x:c r="AA19" s="1"/>
      <x:c r="AB19" s="1"/>
      <x:c r="AC19" s="1"/>
      <x:c r="AD19" s="1"/>
      <x:c r="AE19" s="1"/>
    </x:row>
    <x:row r="20" ht="18" customHeight="1">
      <x:c r="A20" s="38"/>
      <x:c r="B20" s="38"/>
      <x:c r="C20" s="38"/>
      <x:c r="D20" s="38"/>
      <x:c r="E20" s="263" t="str">
        <x:f>IF(B20="","",J20)</x:f>
      </x:c>
      <x:c r="F20" s="144"/>
      <x:c r="G20" s="144"/>
      <x:c r="H20" s="138"/>
      <x:c r="I20" s="38"/>
      <x:c r="J20" s="263" t="str">
        <x:f>IF(B20="","",MAX(0,O20+F20-G20))</x:f>
      </x:c>
      <x:c r="K20" s="144"/>
      <x:c r="L20" s="144"/>
      <x:c r="M20" s="138"/>
      <x:c r="N20" s="38"/>
      <x:c r="O20" s="263" t="str">
        <x:f>IF(B20="","",MAX(0,T20+K20-L20))</x:f>
      </x:c>
      <x:c r="P20" s="144"/>
      <x:c r="Q20" s="144"/>
      <x:c r="R20" s="138"/>
      <x:c r="S20" s="38"/>
      <x:c r="T20" s="263" t="str">
        <x:f>IF(B20="","",MAX(0,P20-Q20))</x:f>
      </x:c>
      <x:c r="U20" s="144"/>
      <x:c r="V20" s="144"/>
      <x:c r="W20" s="138"/>
      <x:c r="X20" s="263" t="str">
        <x:f>IF(B20="","",MAX(0,U20-V20))</x:f>
      </x:c>
      <x:c r="Y20" s="257" t="str">
        <x:f>IF(B20="","",IF(E20&lt;=0,0,IF(T20&gt;0,3,IF(O20&gt;0,2,1))))</x:f>
      </x:c>
      <x:c r="Z20" s="1"/>
      <x:c r="AA20" s="1"/>
      <x:c r="AB20" s="1"/>
      <x:c r="AC20" s="1"/>
      <x:c r="AD20" s="1"/>
      <x:c r="AE20" s="1"/>
    </x:row>
    <x:row r="21" ht="18" customHeight="1">
      <x:c r="A21" s="38"/>
      <x:c r="B21" s="38"/>
      <x:c r="C21" s="38"/>
      <x:c r="D21" s="38"/>
      <x:c r="E21" s="263" t="str">
        <x:f>IF(B21="","",J21)</x:f>
      </x:c>
      <x:c r="F21" s="144"/>
      <x:c r="G21" s="144"/>
      <x:c r="H21" s="138"/>
      <x:c r="I21" s="38"/>
      <x:c r="J21" s="263" t="str">
        <x:f>IF(B21="","",MAX(0,O21+F21-G21))</x:f>
      </x:c>
      <x:c r="K21" s="144"/>
      <x:c r="L21" s="144"/>
      <x:c r="M21" s="138"/>
      <x:c r="N21" s="38"/>
      <x:c r="O21" s="263" t="str">
        <x:f>IF(B21="","",MAX(0,T21+K21-L21))</x:f>
      </x:c>
      <x:c r="P21" s="144"/>
      <x:c r="Q21" s="144"/>
      <x:c r="R21" s="138"/>
      <x:c r="S21" s="38"/>
      <x:c r="T21" s="263" t="str">
        <x:f>IF(B21="","",MAX(0,P21-Q21))</x:f>
      </x:c>
      <x:c r="U21" s="144"/>
      <x:c r="V21" s="144"/>
      <x:c r="W21" s="138"/>
      <x:c r="X21" s="263" t="str">
        <x:f>IF(B21="","",MAX(0,U21-V21))</x:f>
      </x:c>
      <x:c r="Y21" s="257" t="str">
        <x:f>IF(B21="","",IF(E21&lt;=0,0,IF(T21&gt;0,3,IF(O21&gt;0,2,1))))</x:f>
      </x:c>
      <x:c r="Z21" s="1"/>
      <x:c r="AA21" s="1"/>
      <x:c r="AB21" s="1"/>
      <x:c r="AC21" s="1"/>
      <x:c r="AD21" s="1"/>
      <x:c r="AE21" s="1"/>
    </x:row>
    <x:row r="22" ht="18" customHeight="1">
      <x:c r="A22" s="38"/>
      <x:c r="B22" s="38"/>
      <x:c r="C22" s="38"/>
      <x:c r="D22" s="38"/>
      <x:c r="E22" s="263" t="str">
        <x:f>IF(B22="","",J22)</x:f>
      </x:c>
      <x:c r="F22" s="144"/>
      <x:c r="G22" s="144"/>
      <x:c r="H22" s="138"/>
      <x:c r="I22" s="38"/>
      <x:c r="J22" s="263" t="str">
        <x:f>IF(B22="","",MAX(0,O22+F22-G22))</x:f>
      </x:c>
      <x:c r="K22" s="144"/>
      <x:c r="L22" s="144"/>
      <x:c r="M22" s="138"/>
      <x:c r="N22" s="38"/>
      <x:c r="O22" s="263" t="str">
        <x:f>IF(B22="","",MAX(0,T22+K22-L22))</x:f>
      </x:c>
      <x:c r="P22" s="144"/>
      <x:c r="Q22" s="144"/>
      <x:c r="R22" s="138"/>
      <x:c r="S22" s="38"/>
      <x:c r="T22" s="263" t="str">
        <x:f>IF(B22="","",MAX(0,P22-Q22))</x:f>
      </x:c>
      <x:c r="U22" s="144"/>
      <x:c r="V22" s="144"/>
      <x:c r="W22" s="138"/>
      <x:c r="X22" s="263" t="str">
        <x:f>IF(B22="","",MAX(0,U22-V22))</x:f>
      </x:c>
      <x:c r="Y22" s="257" t="str">
        <x:f>IF(B22="","",IF(E22&lt;=0,0,IF(T22&gt;0,3,IF(O22&gt;0,2,1))))</x:f>
      </x:c>
      <x:c r="Z22" s="1"/>
      <x:c r="AA22" s="1"/>
      <x:c r="AB22" s="1"/>
      <x:c r="AC22" s="1"/>
      <x:c r="AD22" s="1"/>
      <x:c r="AE22" s="1"/>
    </x:row>
    <x:row r="23" ht="18" customHeight="1">
      <x:c r="A23" s="38"/>
      <x:c r="B23" s="38"/>
      <x:c r="C23" s="38"/>
      <x:c r="D23" s="38"/>
      <x:c r="E23" s="263" t="str">
        <x:f>IF(B23="","",J23)</x:f>
      </x:c>
      <x:c r="F23" s="144"/>
      <x:c r="G23" s="144"/>
      <x:c r="H23" s="138"/>
      <x:c r="I23" s="38"/>
      <x:c r="J23" s="263" t="str">
        <x:f>IF(B23="","",MAX(0,O23+F23-G23))</x:f>
      </x:c>
      <x:c r="K23" s="144"/>
      <x:c r="L23" s="144"/>
      <x:c r="M23" s="138"/>
      <x:c r="N23" s="38"/>
      <x:c r="O23" s="263" t="str">
        <x:f>IF(B23="","",MAX(0,T23+K23-L23))</x:f>
      </x:c>
      <x:c r="P23" s="144"/>
      <x:c r="Q23" s="144"/>
      <x:c r="R23" s="138"/>
      <x:c r="S23" s="38"/>
      <x:c r="T23" s="263" t="str">
        <x:f>IF(B23="","",MAX(0,P23-Q23))</x:f>
      </x:c>
      <x:c r="U23" s="144"/>
      <x:c r="V23" s="144"/>
      <x:c r="W23" s="138"/>
      <x:c r="X23" s="263" t="str">
        <x:f>IF(B23="","",MAX(0,U23-V23))</x:f>
      </x:c>
      <x:c r="Y23" s="257" t="str">
        <x:f>IF(B23="","",IF(E23&lt;=0,0,IF(T23&gt;0,3,IF(O23&gt;0,2,1))))</x:f>
      </x:c>
      <x:c r="Z23" s="1"/>
      <x:c r="AA23" s="1"/>
      <x:c r="AB23" s="1"/>
      <x:c r="AC23" s="1"/>
      <x:c r="AD23" s="1"/>
      <x:c r="AE23" s="1"/>
    </x:row>
    <x:row r="24" ht="18" customHeight="1">
      <x:c r="A24" s="38"/>
      <x:c r="B24" s="38"/>
      <x:c r="C24" s="38"/>
      <x:c r="D24" s="38"/>
      <x:c r="E24" s="263" t="str">
        <x:f>IF(B24="","",J24)</x:f>
      </x:c>
      <x:c r="F24" s="144"/>
      <x:c r="G24" s="144"/>
      <x:c r="H24" s="138"/>
      <x:c r="I24" s="38"/>
      <x:c r="J24" s="263" t="str">
        <x:f>IF(B24="","",MAX(0,O24+F24-G24))</x:f>
      </x:c>
      <x:c r="K24" s="144"/>
      <x:c r="L24" s="144"/>
      <x:c r="M24" s="138"/>
      <x:c r="N24" s="38"/>
      <x:c r="O24" s="263" t="str">
        <x:f>IF(B24="","",MAX(0,T24+K24-L24))</x:f>
      </x:c>
      <x:c r="P24" s="144"/>
      <x:c r="Q24" s="144"/>
      <x:c r="R24" s="138"/>
      <x:c r="S24" s="38"/>
      <x:c r="T24" s="263" t="str">
        <x:f>IF(B24="","",MAX(0,P24-Q24))</x:f>
      </x:c>
      <x:c r="U24" s="144"/>
      <x:c r="V24" s="144"/>
      <x:c r="W24" s="138"/>
      <x:c r="X24" s="263" t="str">
        <x:f>IF(B24="","",MAX(0,U24-V24))</x:f>
      </x:c>
      <x:c r="Y24" s="257" t="str">
        <x:f>IF(B24="","",IF(E24&lt;=0,0,IF(T24&gt;0,3,IF(O24&gt;0,2,1))))</x:f>
      </x:c>
      <x:c r="Z24" s="1"/>
      <x:c r="AA24" s="1"/>
      <x:c r="AB24" s="1"/>
      <x:c r="AC24" s="1"/>
      <x:c r="AD24" s="1"/>
      <x:c r="AE24" s="1"/>
    </x:row>
    <x:row r="25" ht="18" customHeight="1">
      <x:c r="A25" s="38"/>
      <x:c r="B25" s="38"/>
      <x:c r="C25" s="38"/>
      <x:c r="D25" s="38"/>
      <x:c r="E25" s="263" t="str">
        <x:f>IF(B25="","",J25)</x:f>
      </x:c>
      <x:c r="F25" s="144"/>
      <x:c r="G25" s="144"/>
      <x:c r="H25" s="138"/>
      <x:c r="I25" s="38"/>
      <x:c r="J25" s="263" t="str">
        <x:f>IF(B25="","",MAX(0,O25+F25-G25))</x:f>
      </x:c>
      <x:c r="K25" s="144"/>
      <x:c r="L25" s="144"/>
      <x:c r="M25" s="138"/>
      <x:c r="N25" s="38"/>
      <x:c r="O25" s="263" t="str">
        <x:f>IF(B25="","",MAX(0,T25+K25-L25))</x:f>
      </x:c>
      <x:c r="P25" s="144"/>
      <x:c r="Q25" s="144"/>
      <x:c r="R25" s="138"/>
      <x:c r="S25" s="38"/>
      <x:c r="T25" s="263" t="str">
        <x:f>IF(B25="","",MAX(0,P25-Q25))</x:f>
      </x:c>
      <x:c r="U25" s="144"/>
      <x:c r="V25" s="144"/>
      <x:c r="W25" s="138"/>
      <x:c r="X25" s="263" t="str">
        <x:f>IF(B25="","",MAX(0,U25-V25))</x:f>
      </x:c>
      <x:c r="Y25" s="257" t="str">
        <x:f>IF(B25="","",IF(E25&lt;=0,0,IF(T25&gt;0,3,IF(O25&gt;0,2,1))))</x:f>
      </x:c>
      <x:c r="Z25" s="1"/>
      <x:c r="AA25" s="1"/>
      <x:c r="AB25" s="1"/>
      <x:c r="AC25" s="1"/>
      <x:c r="AD25" s="1"/>
      <x:c r="AE25" s="1"/>
    </x:row>
    <x:row r="26" ht="18" customHeight="1">
      <x:c r="A26" s="38"/>
      <x:c r="B26" s="38"/>
      <x:c r="C26" s="38"/>
      <x:c r="D26" s="38"/>
      <x:c r="E26" s="263" t="str">
        <x:f>IF(B26="","",J26)</x:f>
      </x:c>
      <x:c r="F26" s="144"/>
      <x:c r="G26" s="144"/>
      <x:c r="H26" s="138"/>
      <x:c r="I26" s="38"/>
      <x:c r="J26" s="263" t="str">
        <x:f>IF(B26="","",MAX(0,O26+F26-G26))</x:f>
      </x:c>
      <x:c r="K26" s="144"/>
      <x:c r="L26" s="144"/>
      <x:c r="M26" s="138"/>
      <x:c r="N26" s="38"/>
      <x:c r="O26" s="263" t="str">
        <x:f>IF(B26="","",MAX(0,T26+K26-L26))</x:f>
      </x:c>
      <x:c r="P26" s="144"/>
      <x:c r="Q26" s="144"/>
      <x:c r="R26" s="138"/>
      <x:c r="S26" s="38"/>
      <x:c r="T26" s="263" t="str">
        <x:f>IF(B26="","",MAX(0,P26-Q26))</x:f>
      </x:c>
      <x:c r="U26" s="144"/>
      <x:c r="V26" s="144"/>
      <x:c r="W26" s="138"/>
      <x:c r="X26" s="263" t="str">
        <x:f>IF(B26="","",MAX(0,U26-V26))</x:f>
      </x:c>
      <x:c r="Y26" s="257" t="str">
        <x:f>IF(B26="","",IF(E26&lt;=0,0,IF(T26&gt;0,3,IF(O26&gt;0,2,1))))</x:f>
      </x:c>
      <x:c r="Z26" s="1"/>
      <x:c r="AA26" s="1"/>
      <x:c r="AB26" s="1"/>
      <x:c r="AC26" s="1"/>
      <x:c r="AD26" s="1"/>
      <x:c r="AE26" s="1"/>
    </x:row>
    <x:row r="27" ht="18" customHeight="1">
      <x:c r="A27" s="38"/>
      <x:c r="B27" s="38"/>
      <x:c r="C27" s="38"/>
      <x:c r="D27" s="38"/>
      <x:c r="E27" s="263" t="str">
        <x:f>IF(B27="","",J27)</x:f>
      </x:c>
      <x:c r="F27" s="144"/>
      <x:c r="G27" s="144"/>
      <x:c r="H27" s="138"/>
      <x:c r="I27" s="38"/>
      <x:c r="J27" s="263" t="str">
        <x:f>IF(B27="","",MAX(0,O27+F27-G27))</x:f>
      </x:c>
      <x:c r="K27" s="144"/>
      <x:c r="L27" s="144"/>
      <x:c r="M27" s="138"/>
      <x:c r="N27" s="38"/>
      <x:c r="O27" s="263" t="str">
        <x:f>IF(B27="","",MAX(0,T27+K27-L27))</x:f>
      </x:c>
      <x:c r="P27" s="144"/>
      <x:c r="Q27" s="144"/>
      <x:c r="R27" s="138"/>
      <x:c r="S27" s="38"/>
      <x:c r="T27" s="263" t="str">
        <x:f>IF(B27="","",MAX(0,P27-Q27))</x:f>
      </x:c>
      <x:c r="U27" s="144"/>
      <x:c r="V27" s="144"/>
      <x:c r="W27" s="138"/>
      <x:c r="X27" s="263" t="str">
        <x:f>IF(B27="","",MAX(0,U27-V27))</x:f>
      </x:c>
      <x:c r="Y27" s="257" t="str">
        <x:f>IF(B27="","",IF(E27&lt;=0,0,IF(T27&gt;0,3,IF(O27&gt;0,2,1))))</x:f>
      </x:c>
      <x:c r="Z27" s="1"/>
      <x:c r="AA27" s="1"/>
      <x:c r="AB27" s="1"/>
      <x:c r="AC27" s="1"/>
      <x:c r="AD27" s="1"/>
      <x:c r="AE27" s="1"/>
    </x:row>
    <x:row r="28" ht="18" customHeight="1">
      <x:c r="A28" s="38"/>
      <x:c r="B28" s="38"/>
      <x:c r="C28" s="38"/>
      <x:c r="D28" s="38"/>
      <x:c r="E28" s="263" t="str">
        <x:f>IF(B28="","",J28)</x:f>
      </x:c>
      <x:c r="F28" s="144"/>
      <x:c r="G28" s="144"/>
      <x:c r="H28" s="138"/>
      <x:c r="I28" s="38"/>
      <x:c r="J28" s="263" t="str">
        <x:f>IF(B28="","",MAX(0,O28+F28-G28))</x:f>
      </x:c>
      <x:c r="K28" s="144"/>
      <x:c r="L28" s="144"/>
      <x:c r="M28" s="138"/>
      <x:c r="N28" s="38"/>
      <x:c r="O28" s="263" t="str">
        <x:f>IF(B28="","",MAX(0,T28+K28-L28))</x:f>
      </x:c>
      <x:c r="P28" s="144"/>
      <x:c r="Q28" s="144"/>
      <x:c r="R28" s="138"/>
      <x:c r="S28" s="38"/>
      <x:c r="T28" s="263" t="str">
        <x:f>IF(B28="","",MAX(0,P28-Q28))</x:f>
      </x:c>
      <x:c r="U28" s="144"/>
      <x:c r="V28" s="144"/>
      <x:c r="W28" s="138"/>
      <x:c r="X28" s="263" t="str">
        <x:f>IF(B28="","",MAX(0,U28-V28))</x:f>
      </x:c>
      <x:c r="Y28" s="257" t="str">
        <x:f>IF(B28="","",IF(E28&lt;=0,0,IF(T28&gt;0,3,IF(O28&gt;0,2,1))))</x:f>
      </x:c>
      <x:c r="Z28" s="1"/>
      <x:c r="AA28" s="1"/>
      <x:c r="AB28" s="1"/>
      <x:c r="AC28" s="1"/>
      <x:c r="AD28" s="1"/>
      <x:c r="AE28" s="1"/>
    </x:row>
    <x:row r="29" ht="18" customHeight="1">
      <x:c r="A29" s="38"/>
      <x:c r="B29" s="38"/>
      <x:c r="C29" s="38"/>
      <x:c r="D29" s="38"/>
      <x:c r="E29" s="263" t="str">
        <x:f>IF(B29="","",J29)</x:f>
      </x:c>
      <x:c r="F29" s="144"/>
      <x:c r="G29" s="144"/>
      <x:c r="H29" s="138"/>
      <x:c r="I29" s="38"/>
      <x:c r="J29" s="263" t="str">
        <x:f>IF(B29="","",MAX(0,O29+F29-G29))</x:f>
      </x:c>
      <x:c r="K29" s="144"/>
      <x:c r="L29" s="144"/>
      <x:c r="M29" s="138"/>
      <x:c r="N29" s="38"/>
      <x:c r="O29" s="263" t="str">
        <x:f>IF(B29="","",MAX(0,T29+K29-L29))</x:f>
      </x:c>
      <x:c r="P29" s="144"/>
      <x:c r="Q29" s="144"/>
      <x:c r="R29" s="138"/>
      <x:c r="S29" s="38"/>
      <x:c r="T29" s="263" t="str">
        <x:f>IF(B29="","",MAX(0,P29-Q29))</x:f>
      </x:c>
      <x:c r="U29" s="144"/>
      <x:c r="V29" s="144"/>
      <x:c r="W29" s="138"/>
      <x:c r="X29" s="263" t="str">
        <x:f>IF(B29="","",MAX(0,U29-V29))</x:f>
      </x:c>
      <x:c r="Y29" s="257" t="str">
        <x:f>IF(B29="","",IF(E29&lt;=0,0,IF(T29&gt;0,3,IF(O29&gt;0,2,1))))</x:f>
      </x:c>
      <x:c r="Z29" s="1"/>
      <x:c r="AA29" s="1"/>
      <x:c r="AB29" s="1"/>
      <x:c r="AC29" s="1"/>
      <x:c r="AD29" s="1"/>
      <x:c r="AE29" s="1"/>
    </x:row>
    <x:row r="30" ht="18" customHeight="1">
      <x:c r="A30" s="38"/>
      <x:c r="B30" s="38"/>
      <x:c r="C30" s="38"/>
      <x:c r="D30" s="38"/>
      <x:c r="E30" s="263" t="str">
        <x:f>IF(B30="","",J30)</x:f>
      </x:c>
      <x:c r="F30" s="144"/>
      <x:c r="G30" s="144"/>
      <x:c r="H30" s="138"/>
      <x:c r="I30" s="38"/>
      <x:c r="J30" s="263" t="str">
        <x:f>IF(B30="","",MAX(0,O30+F30-G30))</x:f>
      </x:c>
      <x:c r="K30" s="144"/>
      <x:c r="L30" s="144"/>
      <x:c r="M30" s="138"/>
      <x:c r="N30" s="38"/>
      <x:c r="O30" s="263" t="str">
        <x:f>IF(B30="","",MAX(0,T30+K30-L30))</x:f>
      </x:c>
      <x:c r="P30" s="144"/>
      <x:c r="Q30" s="144"/>
      <x:c r="R30" s="138"/>
      <x:c r="S30" s="38"/>
      <x:c r="T30" s="263" t="str">
        <x:f>IF(B30="","",MAX(0,P30-Q30))</x:f>
      </x:c>
      <x:c r="U30" s="144"/>
      <x:c r="V30" s="144"/>
      <x:c r="W30" s="138"/>
      <x:c r="X30" s="263" t="str">
        <x:f>IF(B30="","",MAX(0,U30-V30))</x:f>
      </x:c>
      <x:c r="Y30" s="257" t="str">
        <x:f>IF(B30="","",IF(E30&lt;=0,0,IF(T30&gt;0,3,IF(O30&gt;0,2,1))))</x:f>
      </x:c>
      <x:c r="Z30" s="1"/>
      <x:c r="AA30" s="1"/>
      <x:c r="AB30" s="1"/>
      <x:c r="AC30" s="1"/>
      <x:c r="AD30" s="1"/>
      <x:c r="AE30" s="1"/>
    </x:row>
    <x:row r="31" ht="18" customHeight="1">
      <x:c r="A31" s="38"/>
      <x:c r="B31" s="38"/>
      <x:c r="C31" s="38"/>
      <x:c r="D31" s="38"/>
      <x:c r="E31" s="263" t="str">
        <x:f>IF(B31="","",J31)</x:f>
      </x:c>
      <x:c r="F31" s="144"/>
      <x:c r="G31" s="144"/>
      <x:c r="H31" s="138"/>
      <x:c r="I31" s="38"/>
      <x:c r="J31" s="263" t="str">
        <x:f>IF(B31="","",MAX(0,O31+F31-G31))</x:f>
      </x:c>
      <x:c r="K31" s="144"/>
      <x:c r="L31" s="144"/>
      <x:c r="M31" s="138"/>
      <x:c r="N31" s="38"/>
      <x:c r="O31" s="263" t="str">
        <x:f>IF(B31="","",MAX(0,T31+K31-L31))</x:f>
      </x:c>
      <x:c r="P31" s="144"/>
      <x:c r="Q31" s="144"/>
      <x:c r="R31" s="138"/>
      <x:c r="S31" s="38"/>
      <x:c r="T31" s="263" t="str">
        <x:f>IF(B31="","",MAX(0,P31-Q31))</x:f>
      </x:c>
      <x:c r="U31" s="144"/>
      <x:c r="V31" s="144"/>
      <x:c r="W31" s="138"/>
      <x:c r="X31" s="263" t="str">
        <x:f>IF(B31="","",MAX(0,U31-V31))</x:f>
      </x:c>
      <x:c r="Y31" s="257" t="str">
        <x:f>IF(B31="","",IF(E31&lt;=0,0,IF(T31&gt;0,3,IF(O31&gt;0,2,1))))</x:f>
      </x:c>
      <x:c r="Z31" s="1"/>
      <x:c r="AA31" s="1"/>
      <x:c r="AB31" s="1"/>
      <x:c r="AC31" s="1"/>
      <x:c r="AD31" s="1"/>
      <x:c r="AE31" s="1"/>
    </x:row>
    <x:row r="32" ht="18" customHeight="1">
      <x:c r="A32" s="38"/>
      <x:c r="B32" s="38"/>
      <x:c r="C32" s="38"/>
      <x:c r="D32" s="38"/>
      <x:c r="E32" s="263" t="str">
        <x:f>IF(B32="","",J32)</x:f>
      </x:c>
      <x:c r="F32" s="144"/>
      <x:c r="G32" s="144"/>
      <x:c r="H32" s="138"/>
      <x:c r="I32" s="38"/>
      <x:c r="J32" s="263" t="str">
        <x:f>IF(B32="","",MAX(0,O32+F32-G32))</x:f>
      </x:c>
      <x:c r="K32" s="144"/>
      <x:c r="L32" s="144"/>
      <x:c r="M32" s="138"/>
      <x:c r="N32" s="38"/>
      <x:c r="O32" s="263" t="str">
        <x:f>IF(B32="","",MAX(0,T32+K32-L32))</x:f>
      </x:c>
      <x:c r="P32" s="144"/>
      <x:c r="Q32" s="144"/>
      <x:c r="R32" s="138"/>
      <x:c r="S32" s="38"/>
      <x:c r="T32" s="263" t="str">
        <x:f>IF(B32="","",MAX(0,P32-Q32))</x:f>
      </x:c>
      <x:c r="U32" s="144"/>
      <x:c r="V32" s="144"/>
      <x:c r="W32" s="138"/>
      <x:c r="X32" s="263" t="str">
        <x:f>IF(B32="","",MAX(0,U32-V32))</x:f>
      </x:c>
      <x:c r="Y32" s="257" t="str">
        <x:f>IF(B32="","",IF(E32&lt;=0,0,IF(T32&gt;0,3,IF(O32&gt;0,2,1))))</x:f>
      </x:c>
      <x:c r="Z32" s="1"/>
      <x:c r="AA32" s="1"/>
      <x:c r="AB32" s="1"/>
      <x:c r="AC32" s="1"/>
      <x:c r="AD32" s="1"/>
      <x:c r="AE32" s="1"/>
    </x:row>
    <x:row r="33" ht="18" customHeight="1">
      <x:c r="A33" s="38"/>
      <x:c r="B33" s="38"/>
      <x:c r="C33" s="38"/>
      <x:c r="D33" s="38"/>
      <x:c r="E33" s="263" t="str">
        <x:f>IF(B33="","",J33)</x:f>
      </x:c>
      <x:c r="F33" s="144"/>
      <x:c r="G33" s="144"/>
      <x:c r="H33" s="138"/>
      <x:c r="I33" s="38"/>
      <x:c r="J33" s="263" t="str">
        <x:f>IF(B33="","",MAX(0,O33+F33-G33))</x:f>
      </x:c>
      <x:c r="K33" s="144"/>
      <x:c r="L33" s="144"/>
      <x:c r="M33" s="138"/>
      <x:c r="N33" s="38"/>
      <x:c r="O33" s="263" t="str">
        <x:f>IF(B33="","",MAX(0,T33+K33-L33))</x:f>
      </x:c>
      <x:c r="P33" s="144"/>
      <x:c r="Q33" s="144"/>
      <x:c r="R33" s="138"/>
      <x:c r="S33" s="38"/>
      <x:c r="T33" s="263" t="str">
        <x:f>IF(B33="","",MAX(0,P33-Q33))</x:f>
      </x:c>
      <x:c r="U33" s="144"/>
      <x:c r="V33" s="144"/>
      <x:c r="W33" s="138"/>
      <x:c r="X33" s="263" t="str">
        <x:f>IF(B33="","",MAX(0,U33-V33))</x:f>
      </x:c>
      <x:c r="Y33" s="257" t="str">
        <x:f>IF(B33="","",IF(E33&lt;=0,0,IF(T33&gt;0,3,IF(O33&gt;0,2,1))))</x:f>
      </x:c>
      <x:c r="Z33" s="1"/>
      <x:c r="AA33" s="1"/>
      <x:c r="AB33" s="1"/>
      <x:c r="AC33" s="1"/>
      <x:c r="AD33" s="1"/>
      <x:c r="AE33" s="1"/>
    </x:row>
    <x:row r="34" ht="18" customHeight="1">
      <x:c r="A34" s="38"/>
      <x:c r="B34" s="38"/>
      <x:c r="C34" s="38"/>
      <x:c r="D34" s="38"/>
      <x:c r="E34" s="263" t="str">
        <x:f>IF(B34="","",J34)</x:f>
      </x:c>
      <x:c r="F34" s="144"/>
      <x:c r="G34" s="144"/>
      <x:c r="H34" s="138"/>
      <x:c r="I34" s="38"/>
      <x:c r="J34" s="263" t="str">
        <x:f>IF(B34="","",MAX(0,O34+F34-G34))</x:f>
      </x:c>
      <x:c r="K34" s="144"/>
      <x:c r="L34" s="144"/>
      <x:c r="M34" s="138"/>
      <x:c r="N34" s="38"/>
      <x:c r="O34" s="263" t="str">
        <x:f>IF(B34="","",MAX(0,T34+K34-L34))</x:f>
      </x:c>
      <x:c r="P34" s="144"/>
      <x:c r="Q34" s="144"/>
      <x:c r="R34" s="138"/>
      <x:c r="S34" s="38"/>
      <x:c r="T34" s="263" t="str">
        <x:f>IF(B34="","",MAX(0,P34-Q34))</x:f>
      </x:c>
      <x:c r="U34" s="144"/>
      <x:c r="V34" s="144"/>
      <x:c r="W34" s="138"/>
      <x:c r="X34" s="263" t="str">
        <x:f>IF(B34="","",MAX(0,U34-V34))</x:f>
      </x:c>
      <x:c r="Y34" s="257" t="str">
        <x:f>IF(B34="","",IF(E34&lt;=0,0,IF(T34&gt;0,3,IF(O34&gt;0,2,1))))</x:f>
      </x:c>
      <x:c r="Z34" s="1"/>
      <x:c r="AA34" s="1"/>
      <x:c r="AB34" s="1"/>
      <x:c r="AC34" s="1"/>
      <x:c r="AD34" s="1"/>
      <x:c r="AE34" s="1"/>
    </x:row>
    <x:row r="35" ht="18" customHeight="1">
      <x:c r="A35" s="38"/>
      <x:c r="B35" s="38"/>
      <x:c r="C35" s="38"/>
      <x:c r="D35" s="38"/>
      <x:c r="E35" s="263" t="str">
        <x:f>IF(B35="","",J35)</x:f>
      </x:c>
      <x:c r="F35" s="144"/>
      <x:c r="G35" s="144"/>
      <x:c r="H35" s="138"/>
      <x:c r="I35" s="38"/>
      <x:c r="J35" s="263" t="str">
        <x:f>IF(B35="","",MAX(0,O35+F35-G35))</x:f>
      </x:c>
      <x:c r="K35" s="144"/>
      <x:c r="L35" s="144"/>
      <x:c r="M35" s="138"/>
      <x:c r="N35" s="38"/>
      <x:c r="O35" s="263" t="str">
        <x:f>IF(B35="","",MAX(0,T35+K35-L35))</x:f>
      </x:c>
      <x:c r="P35" s="144"/>
      <x:c r="Q35" s="144"/>
      <x:c r="R35" s="138"/>
      <x:c r="S35" s="38"/>
      <x:c r="T35" s="263" t="str">
        <x:f>IF(B35="","",MAX(0,P35-Q35))</x:f>
      </x:c>
      <x:c r="U35" s="144"/>
      <x:c r="V35" s="144"/>
      <x:c r="W35" s="138"/>
      <x:c r="X35" s="263" t="str">
        <x:f>IF(B35="","",MAX(0,U35-V35))</x:f>
      </x:c>
      <x:c r="Y35" s="257" t="str">
        <x:f>IF(B35="","",IF(E35&lt;=0,0,IF(T35&gt;0,3,IF(O35&gt;0,2,1))))</x:f>
      </x:c>
      <x:c r="Z35" s="1"/>
      <x:c r="AA35" s="1"/>
      <x:c r="AB35" s="1"/>
      <x:c r="AC35" s="1"/>
      <x:c r="AD35" s="1"/>
      <x:c r="AE35" s="1"/>
    </x:row>
    <x:row r="36" ht="18" customHeight="1">
      <x:c r="A36" s="38"/>
      <x:c r="B36" s="38"/>
      <x:c r="C36" s="38"/>
      <x:c r="D36" s="38"/>
      <x:c r="E36" s="263" t="str">
        <x:f>IF(B36="","",J36)</x:f>
      </x:c>
      <x:c r="F36" s="144"/>
      <x:c r="G36" s="144"/>
      <x:c r="H36" s="138"/>
      <x:c r="I36" s="38"/>
      <x:c r="J36" s="263" t="str">
        <x:f>IF(B36="","",MAX(0,O36+F36-G36))</x:f>
      </x:c>
      <x:c r="K36" s="144"/>
      <x:c r="L36" s="144"/>
      <x:c r="M36" s="138"/>
      <x:c r="N36" s="38"/>
      <x:c r="O36" s="263" t="str">
        <x:f>IF(B36="","",MAX(0,T36+K36-L36))</x:f>
      </x:c>
      <x:c r="P36" s="144"/>
      <x:c r="Q36" s="144"/>
      <x:c r="R36" s="138"/>
      <x:c r="S36" s="38"/>
      <x:c r="T36" s="263" t="str">
        <x:f>IF(B36="","",MAX(0,P36-Q36))</x:f>
      </x:c>
      <x:c r="U36" s="144"/>
      <x:c r="V36" s="144"/>
      <x:c r="W36" s="138"/>
      <x:c r="X36" s="263" t="str">
        <x:f>IF(B36="","",MAX(0,U36-V36))</x:f>
      </x:c>
      <x:c r="Y36" s="257" t="str">
        <x:f>IF(B36="","",IF(E36&lt;=0,0,IF(T36&gt;0,3,IF(O36&gt;0,2,1))))</x:f>
      </x:c>
      <x:c r="Z36" s="1"/>
      <x:c r="AA36" s="1"/>
      <x:c r="AB36" s="1"/>
      <x:c r="AC36" s="1"/>
      <x:c r="AD36" s="1"/>
      <x:c r="AE36" s="1"/>
    </x:row>
    <x:row r="37" ht="18" customHeight="1">
      <x:c r="A37" s="38"/>
      <x:c r="B37" s="38"/>
      <x:c r="C37" s="38"/>
      <x:c r="D37" s="38"/>
      <x:c r="E37" s="263" t="str">
        <x:f>IF(B37="","",J37)</x:f>
      </x:c>
      <x:c r="F37" s="144"/>
      <x:c r="G37" s="144"/>
      <x:c r="H37" s="138"/>
      <x:c r="I37" s="38"/>
      <x:c r="J37" s="263" t="str">
        <x:f>IF(B37="","",MAX(0,O37+F37-G37))</x:f>
      </x:c>
      <x:c r="K37" s="144"/>
      <x:c r="L37" s="144"/>
      <x:c r="M37" s="138"/>
      <x:c r="N37" s="38"/>
      <x:c r="O37" s="263" t="str">
        <x:f>IF(B37="","",MAX(0,T37+K37-L37))</x:f>
      </x:c>
      <x:c r="P37" s="144"/>
      <x:c r="Q37" s="144"/>
      <x:c r="R37" s="138"/>
      <x:c r="S37" s="38"/>
      <x:c r="T37" s="263" t="str">
        <x:f>IF(B37="","",MAX(0,P37-Q37))</x:f>
      </x:c>
      <x:c r="U37" s="144"/>
      <x:c r="V37" s="144"/>
      <x:c r="W37" s="138"/>
      <x:c r="X37" s="263" t="str">
        <x:f>IF(B37="","",MAX(0,U37-V37))</x:f>
      </x:c>
      <x:c r="Y37" s="257" t="str">
        <x:f>IF(B37="","",IF(E37&lt;=0,0,IF(T37&gt;0,3,IF(O37&gt;0,2,1))))</x:f>
      </x:c>
      <x:c r="Z37" s="1"/>
      <x:c r="AA37" s="1"/>
      <x:c r="AB37" s="1"/>
      <x:c r="AC37" s="1"/>
      <x:c r="AD37" s="1"/>
      <x:c r="AE37" s="1"/>
    </x:row>
    <x:row r="38" ht="18" customHeight="1">
      <x:c r="A38" s="38"/>
      <x:c r="B38" s="38"/>
      <x:c r="C38" s="38"/>
      <x:c r="D38" s="38"/>
      <x:c r="E38" s="263" t="str">
        <x:f>IF(B38="","",J38)</x:f>
      </x:c>
      <x:c r="F38" s="144"/>
      <x:c r="G38" s="144"/>
      <x:c r="H38" s="138"/>
      <x:c r="I38" s="38"/>
      <x:c r="J38" s="263" t="str">
        <x:f>IF(B38="","",MAX(0,O38+F38-G38))</x:f>
      </x:c>
      <x:c r="K38" s="144"/>
      <x:c r="L38" s="144"/>
      <x:c r="M38" s="138"/>
      <x:c r="N38" s="38"/>
      <x:c r="O38" s="263" t="str">
        <x:f>IF(B38="","",MAX(0,T38+K38-L38))</x:f>
      </x:c>
      <x:c r="P38" s="144"/>
      <x:c r="Q38" s="144"/>
      <x:c r="R38" s="138"/>
      <x:c r="S38" s="38"/>
      <x:c r="T38" s="263" t="str">
        <x:f>IF(B38="","",MAX(0,P38-Q38))</x:f>
      </x:c>
      <x:c r="U38" s="144"/>
      <x:c r="V38" s="144"/>
      <x:c r="W38" s="138"/>
      <x:c r="X38" s="263" t="str">
        <x:f>IF(B38="","",MAX(0,U38-V38))</x:f>
      </x:c>
      <x:c r="Y38" s="257" t="str">
        <x:f>IF(B38="","",IF(E38&lt;=0,0,IF(T38&gt;0,3,IF(O38&gt;0,2,1))))</x:f>
      </x:c>
      <x:c r="Z38" s="1"/>
      <x:c r="AA38" s="1"/>
      <x:c r="AB38" s="1"/>
      <x:c r="AC38" s="1"/>
      <x:c r="AD38" s="1"/>
      <x:c r="AE38" s="1"/>
    </x:row>
    <x:row r="39" ht="18" customHeight="1">
      <x:c r="A39" s="38"/>
      <x:c r="B39" s="38"/>
      <x:c r="C39" s="38"/>
      <x:c r="D39" s="38"/>
      <x:c r="E39" s="263" t="str">
        <x:f>IF(B39="","",J39)</x:f>
      </x:c>
      <x:c r="F39" s="144"/>
      <x:c r="G39" s="144"/>
      <x:c r="H39" s="138"/>
      <x:c r="I39" s="38"/>
      <x:c r="J39" s="263" t="str">
        <x:f>IF(B39="","",MAX(0,O39+F39-G39))</x:f>
      </x:c>
      <x:c r="K39" s="144"/>
      <x:c r="L39" s="144"/>
      <x:c r="M39" s="138"/>
      <x:c r="N39" s="38"/>
      <x:c r="O39" s="263" t="str">
        <x:f>IF(B39="","",MAX(0,T39+K39-L39))</x:f>
      </x:c>
      <x:c r="P39" s="144"/>
      <x:c r="Q39" s="144"/>
      <x:c r="R39" s="138"/>
      <x:c r="S39" s="38"/>
      <x:c r="T39" s="263" t="str">
        <x:f>IF(B39="","",MAX(0,P39-Q39))</x:f>
      </x:c>
      <x:c r="U39" s="144"/>
      <x:c r="V39" s="144"/>
      <x:c r="W39" s="138"/>
      <x:c r="X39" s="263" t="str">
        <x:f>IF(B39="","",MAX(0,U39-V39))</x:f>
      </x:c>
      <x:c r="Y39" s="257" t="str">
        <x:f>IF(B39="","",IF(E39&lt;=0,0,IF(T39&gt;0,3,IF(O39&gt;0,2,1))))</x:f>
      </x:c>
      <x:c r="Z39" s="1"/>
      <x:c r="AA39" s="1"/>
      <x:c r="AB39" s="1"/>
      <x:c r="AC39" s="1"/>
      <x:c r="AD39" s="1"/>
      <x:c r="AE39" s="1"/>
    </x:row>
    <x:row r="40" ht="18" customHeight="1">
      <x:c r="A40" s="38"/>
      <x:c r="B40" s="38"/>
      <x:c r="C40" s="38"/>
      <x:c r="D40" s="38"/>
      <x:c r="E40" s="263" t="str">
        <x:f>IF(B40="","",J40)</x:f>
      </x:c>
      <x:c r="F40" s="144"/>
      <x:c r="G40" s="144"/>
      <x:c r="H40" s="138"/>
      <x:c r="I40" s="38"/>
      <x:c r="J40" s="263" t="str">
        <x:f>IF(B40="","",MAX(0,O40+F40-G40))</x:f>
      </x:c>
      <x:c r="K40" s="144"/>
      <x:c r="L40" s="144"/>
      <x:c r="M40" s="138"/>
      <x:c r="N40" s="38"/>
      <x:c r="O40" s="263" t="str">
        <x:f>IF(B40="","",MAX(0,T40+K40-L40))</x:f>
      </x:c>
      <x:c r="P40" s="144"/>
      <x:c r="Q40" s="144"/>
      <x:c r="R40" s="138"/>
      <x:c r="S40" s="38"/>
      <x:c r="T40" s="263" t="str">
        <x:f>IF(B40="","",MAX(0,P40-Q40))</x:f>
      </x:c>
      <x:c r="U40" s="144"/>
      <x:c r="V40" s="144"/>
      <x:c r="W40" s="138"/>
      <x:c r="X40" s="263" t="str">
        <x:f>IF(B40="","",MAX(0,U40-V40))</x:f>
      </x:c>
      <x:c r="Y40" s="257" t="str">
        <x:f>IF(B40="","",IF(E40&lt;=0,0,IF(T40&gt;0,3,IF(O40&gt;0,2,1))))</x:f>
      </x:c>
      <x:c r="Z40" s="1"/>
      <x:c r="AA40" s="1"/>
      <x:c r="AB40" s="1"/>
      <x:c r="AC40" s="1"/>
      <x:c r="AD40" s="1"/>
      <x:c r="AE40" s="1"/>
    </x:row>
    <x:row r="41" ht="18" customHeight="1">
      <x:c r="A41" s="38"/>
      <x:c r="B41" s="38"/>
      <x:c r="C41" s="38"/>
      <x:c r="D41" s="38"/>
      <x:c r="E41" s="263" t="str">
        <x:f>IF(B41="","",J41)</x:f>
      </x:c>
      <x:c r="F41" s="144"/>
      <x:c r="G41" s="144"/>
      <x:c r="H41" s="138"/>
      <x:c r="I41" s="38"/>
      <x:c r="J41" s="263" t="str">
        <x:f>IF(B41="","",MAX(0,O41+F41-G41))</x:f>
      </x:c>
      <x:c r="K41" s="144"/>
      <x:c r="L41" s="144"/>
      <x:c r="M41" s="138"/>
      <x:c r="N41" s="38"/>
      <x:c r="O41" s="263" t="str">
        <x:f>IF(B41="","",MAX(0,T41+K41-L41))</x:f>
      </x:c>
      <x:c r="P41" s="144"/>
      <x:c r="Q41" s="144"/>
      <x:c r="R41" s="138"/>
      <x:c r="S41" s="38"/>
      <x:c r="T41" s="263" t="str">
        <x:f>IF(B41="","",MAX(0,P41-Q41))</x:f>
      </x:c>
      <x:c r="U41" s="144"/>
      <x:c r="V41" s="144"/>
      <x:c r="W41" s="138"/>
      <x:c r="X41" s="263" t="str">
        <x:f>IF(B41="","",MAX(0,U41-V41))</x:f>
      </x:c>
      <x:c r="Y41" s="257" t="str">
        <x:f>IF(B41="","",IF(E41&lt;=0,0,IF(T41&gt;0,3,IF(O41&gt;0,2,1))))</x:f>
      </x:c>
      <x:c r="Z41" s="1"/>
      <x:c r="AA41" s="1"/>
      <x:c r="AB41" s="1"/>
      <x:c r="AC41" s="1"/>
      <x:c r="AD41" s="1"/>
      <x:c r="AE41" s="1"/>
    </x:row>
    <x:row r="42" ht="18" customHeight="1">
      <x:c r="A42" s="38"/>
      <x:c r="B42" s="38"/>
      <x:c r="C42" s="38"/>
      <x:c r="D42" s="38"/>
      <x:c r="E42" s="263" t="str">
        <x:f>IF(B42="","",J42)</x:f>
      </x:c>
      <x:c r="F42" s="144"/>
      <x:c r="G42" s="144"/>
      <x:c r="H42" s="138"/>
      <x:c r="I42" s="38"/>
      <x:c r="J42" s="263" t="str">
        <x:f>IF(B42="","",MAX(0,O42+F42-G42))</x:f>
      </x:c>
      <x:c r="K42" s="144"/>
      <x:c r="L42" s="144"/>
      <x:c r="M42" s="138"/>
      <x:c r="N42" s="38"/>
      <x:c r="O42" s="263" t="str">
        <x:f>IF(B42="","",MAX(0,T42+K42-L42))</x:f>
      </x:c>
      <x:c r="P42" s="144"/>
      <x:c r="Q42" s="144"/>
      <x:c r="R42" s="138"/>
      <x:c r="S42" s="38"/>
      <x:c r="T42" s="263" t="str">
        <x:f>IF(B42="","",MAX(0,P42-Q42))</x:f>
      </x:c>
      <x:c r="U42" s="144"/>
      <x:c r="V42" s="144"/>
      <x:c r="W42" s="138"/>
      <x:c r="X42" s="263" t="str">
        <x:f>IF(B42="","",MAX(0,U42-V42))</x:f>
      </x:c>
      <x:c r="Y42" s="257" t="str">
        <x:f>IF(B42="","",IF(E42&lt;=0,0,IF(T42&gt;0,3,IF(O42&gt;0,2,1))))</x:f>
      </x:c>
      <x:c r="Z42" s="1"/>
      <x:c r="AA42" s="1"/>
      <x:c r="AB42" s="1"/>
      <x:c r="AC42" s="1"/>
      <x:c r="AD42" s="1"/>
      <x:c r="AE42" s="1"/>
    </x:row>
    <x:row r="43" ht="18" customHeight="1">
      <x:c r="A43" s="38"/>
      <x:c r="B43" s="38"/>
      <x:c r="C43" s="38"/>
      <x:c r="D43" s="38"/>
      <x:c r="E43" s="263" t="str">
        <x:f>IF(B43="","",J43)</x:f>
      </x:c>
      <x:c r="F43" s="144"/>
      <x:c r="G43" s="144"/>
      <x:c r="H43" s="138"/>
      <x:c r="I43" s="38"/>
      <x:c r="J43" s="263" t="str">
        <x:f>IF(B43="","",MAX(0,O43+F43-G43))</x:f>
      </x:c>
      <x:c r="K43" s="144"/>
      <x:c r="L43" s="144"/>
      <x:c r="M43" s="138"/>
      <x:c r="N43" s="38"/>
      <x:c r="O43" s="263" t="str">
        <x:f>IF(B43="","",MAX(0,T43+K43-L43))</x:f>
      </x:c>
      <x:c r="P43" s="144"/>
      <x:c r="Q43" s="144"/>
      <x:c r="R43" s="138"/>
      <x:c r="S43" s="38"/>
      <x:c r="T43" s="263" t="str">
        <x:f>IF(B43="","",MAX(0,P43-Q43))</x:f>
      </x:c>
      <x:c r="U43" s="144"/>
      <x:c r="V43" s="144"/>
      <x:c r="W43" s="138"/>
      <x:c r="X43" s="263" t="str">
        <x:f>IF(B43="","",MAX(0,U43-V43))</x:f>
      </x:c>
      <x:c r="Y43" s="257" t="str">
        <x:f>IF(B43="","",IF(E43&lt;=0,0,IF(T43&gt;0,3,IF(O43&gt;0,2,1))))</x:f>
      </x:c>
      <x:c r="Z43" s="1"/>
      <x:c r="AA43" s="1"/>
      <x:c r="AB43" s="1"/>
      <x:c r="AC43" s="1"/>
      <x:c r="AD43" s="1"/>
      <x:c r="AE43" s="1"/>
    </x:row>
    <x:row r="44" ht="18" customHeight="1">
      <x:c r="A44" s="38"/>
      <x:c r="B44" s="38"/>
      <x:c r="C44" s="38"/>
      <x:c r="D44" s="38"/>
      <x:c r="E44" s="263" t="str">
        <x:f>IF(B44="","",J44)</x:f>
      </x:c>
      <x:c r="F44" s="144"/>
      <x:c r="G44" s="144"/>
      <x:c r="H44" s="138"/>
      <x:c r="I44" s="38"/>
      <x:c r="J44" s="263" t="str">
        <x:f>IF(B44="","",MAX(0,O44+F44-G44))</x:f>
      </x:c>
      <x:c r="K44" s="144"/>
      <x:c r="L44" s="144"/>
      <x:c r="M44" s="138"/>
      <x:c r="N44" s="38"/>
      <x:c r="O44" s="263" t="str">
        <x:f>IF(B44="","",MAX(0,T44+K44-L44))</x:f>
      </x:c>
      <x:c r="P44" s="144"/>
      <x:c r="Q44" s="144"/>
      <x:c r="R44" s="138"/>
      <x:c r="S44" s="38"/>
      <x:c r="T44" s="263" t="str">
        <x:f>IF(B44="","",MAX(0,P44-Q44))</x:f>
      </x:c>
      <x:c r="U44" s="144"/>
      <x:c r="V44" s="144"/>
      <x:c r="W44" s="138"/>
      <x:c r="X44" s="263" t="str">
        <x:f>IF(B44="","",MAX(0,U44-V44))</x:f>
      </x:c>
      <x:c r="Y44" s="257" t="str">
        <x:f>IF(B44="","",IF(E44&lt;=0,0,IF(T44&gt;0,3,IF(O44&gt;0,2,1))))</x:f>
      </x:c>
      <x:c r="Z44" s="1"/>
      <x:c r="AA44" s="1"/>
      <x:c r="AB44" s="1"/>
      <x:c r="AC44" s="1"/>
      <x:c r="AD44" s="1"/>
      <x:c r="AE44" s="1"/>
    </x:row>
    <x:row r="45" ht="18" customHeight="1">
      <x:c r="A45" s="38"/>
      <x:c r="B45" s="38"/>
      <x:c r="C45" s="38"/>
      <x:c r="D45" s="38"/>
      <x:c r="E45" s="263" t="str">
        <x:f>IF(B45="","",J45)</x:f>
      </x:c>
      <x:c r="F45" s="144"/>
      <x:c r="G45" s="144"/>
      <x:c r="H45" s="138"/>
      <x:c r="I45" s="38"/>
      <x:c r="J45" s="263" t="str">
        <x:f>IF(B45="","",MAX(0,O45+F45-G45))</x:f>
      </x:c>
      <x:c r="K45" s="144"/>
      <x:c r="L45" s="144"/>
      <x:c r="M45" s="138"/>
      <x:c r="N45" s="38"/>
      <x:c r="O45" s="263" t="str">
        <x:f>IF(B45="","",MAX(0,T45+K45-L45))</x:f>
      </x:c>
      <x:c r="P45" s="144"/>
      <x:c r="Q45" s="144"/>
      <x:c r="R45" s="138"/>
      <x:c r="S45" s="38"/>
      <x:c r="T45" s="263" t="str">
        <x:f>IF(B45="","",MAX(0,P45-Q45))</x:f>
      </x:c>
      <x:c r="U45" s="144"/>
      <x:c r="V45" s="144"/>
      <x:c r="W45" s="138"/>
      <x:c r="X45" s="263" t="str">
        <x:f>IF(B45="","",MAX(0,U45-V45))</x:f>
      </x:c>
      <x:c r="Y45" s="257" t="str">
        <x:f>IF(B45="","",IF(E45&lt;=0,0,IF(T45&gt;0,3,IF(O45&gt;0,2,1))))</x:f>
      </x:c>
      <x:c r="Z45" s="1"/>
      <x:c r="AA45" s="1"/>
      <x:c r="AB45" s="1"/>
      <x:c r="AC45" s="1"/>
      <x:c r="AD45" s="1"/>
      <x:c r="AE45" s="1"/>
    </x:row>
    <x:row r="46" ht="18" customHeight="1">
      <x:c r="A46" s="38"/>
      <x:c r="B46" s="38"/>
      <x:c r="C46" s="38"/>
      <x:c r="D46" s="38"/>
      <x:c r="E46" s="263" t="str">
        <x:f>IF(B46="","",J46)</x:f>
      </x:c>
      <x:c r="F46" s="144"/>
      <x:c r="G46" s="144"/>
      <x:c r="H46" s="138"/>
      <x:c r="I46" s="38"/>
      <x:c r="J46" s="263" t="str">
        <x:f>IF(B46="","",MAX(0,O46+F46-G46))</x:f>
      </x:c>
      <x:c r="K46" s="144"/>
      <x:c r="L46" s="144"/>
      <x:c r="M46" s="138"/>
      <x:c r="N46" s="38"/>
      <x:c r="O46" s="263" t="str">
        <x:f>IF(B46="","",MAX(0,T46+K46-L46))</x:f>
      </x:c>
      <x:c r="P46" s="144"/>
      <x:c r="Q46" s="144"/>
      <x:c r="R46" s="138"/>
      <x:c r="S46" s="38"/>
      <x:c r="T46" s="263" t="str">
        <x:f>IF(B46="","",MAX(0,P46-Q46))</x:f>
      </x:c>
      <x:c r="U46" s="144"/>
      <x:c r="V46" s="144"/>
      <x:c r="W46" s="138"/>
      <x:c r="X46" s="263" t="str">
        <x:f>IF(B46="","",MAX(0,U46-V46))</x:f>
      </x:c>
      <x:c r="Y46" s="257" t="str">
        <x:f>IF(B46="","",IF(E46&lt;=0,0,IF(T46&gt;0,3,IF(O46&gt;0,2,1))))</x:f>
      </x:c>
      <x:c r="Z46" s="1"/>
      <x:c r="AA46" s="1"/>
      <x:c r="AB46" s="1"/>
      <x:c r="AC46" s="1"/>
      <x:c r="AD46" s="1"/>
      <x:c r="AE46" s="1"/>
    </x:row>
    <x:row r="47" ht="18" customHeight="1">
      <x:c r="A47" s="38"/>
      <x:c r="B47" s="38"/>
      <x:c r="C47" s="38"/>
      <x:c r="D47" s="38"/>
      <x:c r="E47" s="263" t="str">
        <x:f>IF(B47="","",J47)</x:f>
      </x:c>
      <x:c r="F47" s="144"/>
      <x:c r="G47" s="144"/>
      <x:c r="H47" s="138"/>
      <x:c r="I47" s="38"/>
      <x:c r="J47" s="263" t="str">
        <x:f>IF(B47="","",MAX(0,O47+F47-G47))</x:f>
      </x:c>
      <x:c r="K47" s="144"/>
      <x:c r="L47" s="144"/>
      <x:c r="M47" s="138"/>
      <x:c r="N47" s="38"/>
      <x:c r="O47" s="263" t="str">
        <x:f>IF(B47="","",MAX(0,T47+K47-L47))</x:f>
      </x:c>
      <x:c r="P47" s="144"/>
      <x:c r="Q47" s="144"/>
      <x:c r="R47" s="138"/>
      <x:c r="S47" s="38"/>
      <x:c r="T47" s="263" t="str">
        <x:f>IF(B47="","",MAX(0,P47-Q47))</x:f>
      </x:c>
      <x:c r="U47" s="144"/>
      <x:c r="V47" s="144"/>
      <x:c r="W47" s="138"/>
      <x:c r="X47" s="263" t="str">
        <x:f>IF(B47="","",MAX(0,U47-V47))</x:f>
      </x:c>
      <x:c r="Y47" s="257" t="str">
        <x:f>IF(B47="","",IF(E47&lt;=0,0,IF(T47&gt;0,3,IF(O47&gt;0,2,1))))</x:f>
      </x:c>
      <x:c r="Z47" s="1"/>
      <x:c r="AA47" s="1"/>
      <x:c r="AB47" s="1"/>
      <x:c r="AC47" s="1"/>
      <x:c r="AD47" s="1"/>
      <x:c r="AE47" s="1"/>
    </x:row>
    <x:row r="48" ht="18" customHeight="1">
      <x:c r="A48" s="38"/>
      <x:c r="B48" s="38"/>
      <x:c r="C48" s="38"/>
      <x:c r="D48" s="38"/>
      <x:c r="E48" s="263" t="str">
        <x:f>IF(B48="","",J48)</x:f>
      </x:c>
      <x:c r="F48" s="144"/>
      <x:c r="G48" s="144"/>
      <x:c r="H48" s="138"/>
      <x:c r="I48" s="38"/>
      <x:c r="J48" s="263" t="str">
        <x:f>IF(B48="","",MAX(0,O48+F48-G48))</x:f>
      </x:c>
      <x:c r="K48" s="144"/>
      <x:c r="L48" s="144"/>
      <x:c r="M48" s="138"/>
      <x:c r="N48" s="38"/>
      <x:c r="O48" s="263" t="str">
        <x:f>IF(B48="","",MAX(0,T48+K48-L48))</x:f>
      </x:c>
      <x:c r="P48" s="144"/>
      <x:c r="Q48" s="144"/>
      <x:c r="R48" s="138"/>
      <x:c r="S48" s="38"/>
      <x:c r="T48" s="263" t="str">
        <x:f>IF(B48="","",MAX(0,P48-Q48))</x:f>
      </x:c>
      <x:c r="U48" s="144"/>
      <x:c r="V48" s="144"/>
      <x:c r="W48" s="138"/>
      <x:c r="X48" s="263" t="str">
        <x:f>IF(B48="","",MAX(0,U48-V48))</x:f>
      </x:c>
      <x:c r="Y48" s="257" t="str">
        <x:f>IF(B48="","",IF(E48&lt;=0,0,IF(T48&gt;0,3,IF(O48&gt;0,2,1))))</x:f>
      </x:c>
      <x:c r="Z48" s="1"/>
      <x:c r="AA48" s="1"/>
      <x:c r="AB48" s="1"/>
      <x:c r="AC48" s="1"/>
      <x:c r="AD48" s="1"/>
      <x:c r="AE48" s="1"/>
    </x:row>
    <x:row r="49" ht="18" customHeight="1">
      <x:c r="A49" s="38"/>
      <x:c r="B49" s="38"/>
      <x:c r="C49" s="38"/>
      <x:c r="D49" s="38"/>
      <x:c r="E49" s="263" t="str">
        <x:f>IF(B49="","",J49)</x:f>
      </x:c>
      <x:c r="F49" s="144"/>
      <x:c r="G49" s="144"/>
      <x:c r="H49" s="138"/>
      <x:c r="I49" s="38"/>
      <x:c r="J49" s="263" t="str">
        <x:f>IF(B49="","",MAX(0,O49+F49-G49))</x:f>
      </x:c>
      <x:c r="K49" s="144"/>
      <x:c r="L49" s="144"/>
      <x:c r="M49" s="138"/>
      <x:c r="N49" s="38"/>
      <x:c r="O49" s="263" t="str">
        <x:f>IF(B49="","",MAX(0,T49+K49-L49))</x:f>
      </x:c>
      <x:c r="P49" s="144"/>
      <x:c r="Q49" s="144"/>
      <x:c r="R49" s="138"/>
      <x:c r="S49" s="38"/>
      <x:c r="T49" s="263" t="str">
        <x:f>IF(B49="","",MAX(0,P49-Q49))</x:f>
      </x:c>
      <x:c r="U49" s="144"/>
      <x:c r="V49" s="144"/>
      <x:c r="W49" s="138"/>
      <x:c r="X49" s="263" t="str">
        <x:f>IF(B49="","",MAX(0,U49-V49))</x:f>
      </x:c>
      <x:c r="Y49" s="257" t="str">
        <x:f>IF(B49="","",IF(E49&lt;=0,0,IF(T49&gt;0,3,IF(O49&gt;0,2,1))))</x:f>
      </x:c>
      <x:c r="Z49" s="1"/>
      <x:c r="AA49" s="1"/>
      <x:c r="AB49" s="1"/>
      <x:c r="AC49" s="1"/>
      <x:c r="AD49" s="1"/>
      <x:c r="AE49" s="1"/>
    </x:row>
    <x:row r="50" ht="18" customHeight="1">
      <x:c r="A50" s="38"/>
      <x:c r="B50" s="38"/>
      <x:c r="C50" s="38"/>
      <x:c r="D50" s="38"/>
      <x:c r="E50" s="263" t="str">
        <x:f>IF(B50="","",J50)</x:f>
      </x:c>
      <x:c r="F50" s="144"/>
      <x:c r="G50" s="144"/>
      <x:c r="H50" s="138"/>
      <x:c r="I50" s="38"/>
      <x:c r="J50" s="263" t="str">
        <x:f>IF(B50="","",MAX(0,O50+F50-G50))</x:f>
      </x:c>
      <x:c r="K50" s="144"/>
      <x:c r="L50" s="144"/>
      <x:c r="M50" s="138"/>
      <x:c r="N50" s="38"/>
      <x:c r="O50" s="263" t="str">
        <x:f>IF(B50="","",MAX(0,T50+K50-L50))</x:f>
      </x:c>
      <x:c r="P50" s="144"/>
      <x:c r="Q50" s="144"/>
      <x:c r="R50" s="138"/>
      <x:c r="S50" s="38"/>
      <x:c r="T50" s="263" t="str">
        <x:f>IF(B50="","",MAX(0,P50-Q50))</x:f>
      </x:c>
      <x:c r="U50" s="144"/>
      <x:c r="V50" s="144"/>
      <x:c r="W50" s="138"/>
      <x:c r="X50" s="263" t="str">
        <x:f>IF(B50="","",MAX(0,U50-V50))</x:f>
      </x:c>
      <x:c r="Y50" s="257" t="str">
        <x:f>IF(B50="","",IF(E50&lt;=0,0,IF(T50&gt;0,3,IF(O50&gt;0,2,1))))</x:f>
      </x:c>
      <x:c r="Z50" s="1"/>
      <x:c r="AA50" s="1"/>
      <x:c r="AB50" s="1"/>
      <x:c r="AC50" s="1"/>
      <x:c r="AD50" s="1"/>
      <x:c r="AE50" s="1"/>
    </x:row>
    <x:row r="51" ht="18" customHeight="1">
      <x:c r="A51" s="38"/>
      <x:c r="B51" s="38"/>
      <x:c r="C51" s="38"/>
      <x:c r="D51" s="38"/>
      <x:c r="E51" s="263" t="str">
        <x:f>IF(B51="","",J51)</x:f>
      </x:c>
      <x:c r="F51" s="144"/>
      <x:c r="G51" s="144"/>
      <x:c r="H51" s="138"/>
      <x:c r="I51" s="38"/>
      <x:c r="J51" s="263" t="str">
        <x:f>IF(B51="","",MAX(0,O51+F51-G51))</x:f>
      </x:c>
      <x:c r="K51" s="144"/>
      <x:c r="L51" s="144"/>
      <x:c r="M51" s="138"/>
      <x:c r="N51" s="38"/>
      <x:c r="O51" s="263" t="str">
        <x:f>IF(B51="","",MAX(0,T51+K51-L51))</x:f>
      </x:c>
      <x:c r="P51" s="144"/>
      <x:c r="Q51" s="144"/>
      <x:c r="R51" s="138"/>
      <x:c r="S51" s="38"/>
      <x:c r="T51" s="263" t="str">
        <x:f>IF(B51="","",MAX(0,P51-Q51))</x:f>
      </x:c>
      <x:c r="U51" s="144"/>
      <x:c r="V51" s="144"/>
      <x:c r="W51" s="138"/>
      <x:c r="X51" s="263" t="str">
        <x:f>IF(B51="","",MAX(0,U51-V51))</x:f>
      </x:c>
      <x:c r="Y51" s="257" t="str">
        <x:f>IF(B51="","",IF(E51&lt;=0,0,IF(T51&gt;0,3,IF(O51&gt;0,2,1))))</x:f>
      </x:c>
      <x:c r="Z51" s="1"/>
      <x:c r="AA51" s="1"/>
      <x:c r="AB51" s="1"/>
      <x:c r="AC51" s="1"/>
      <x:c r="AD51" s="1"/>
      <x:c r="AE51" s="1"/>
    </x:row>
    <x:row r="52" ht="18" customHeight="1">
      <x:c r="A52" s="38"/>
      <x:c r="B52" s="38"/>
      <x:c r="C52" s="38"/>
      <x:c r="D52" s="38"/>
      <x:c r="E52" s="263" t="str">
        <x:f>IF(B52="","",J52)</x:f>
      </x:c>
      <x:c r="F52" s="144"/>
      <x:c r="G52" s="144"/>
      <x:c r="H52" s="138"/>
      <x:c r="I52" s="38"/>
      <x:c r="J52" s="263" t="str">
        <x:f>IF(B52="","",MAX(0,O52+F52-G52))</x:f>
      </x:c>
      <x:c r="K52" s="144"/>
      <x:c r="L52" s="144"/>
      <x:c r="M52" s="138"/>
      <x:c r="N52" s="38"/>
      <x:c r="O52" s="263" t="str">
        <x:f>IF(B52="","",MAX(0,T52+K52-L52))</x:f>
      </x:c>
      <x:c r="P52" s="144"/>
      <x:c r="Q52" s="144"/>
      <x:c r="R52" s="138"/>
      <x:c r="S52" s="38"/>
      <x:c r="T52" s="263" t="str">
        <x:f>IF(B52="","",MAX(0,P52-Q52))</x:f>
      </x:c>
      <x:c r="U52" s="144"/>
      <x:c r="V52" s="144"/>
      <x:c r="W52" s="138"/>
      <x:c r="X52" s="263" t="str">
        <x:f>IF(B52="","",MAX(0,U52-V52))</x:f>
      </x:c>
      <x:c r="Y52" s="257" t="str">
        <x:f>IF(B52="","",IF(E52&lt;=0,0,IF(T52&gt;0,3,IF(O52&gt;0,2,1))))</x:f>
      </x:c>
      <x:c r="Z52" s="1"/>
      <x:c r="AA52" s="1"/>
      <x:c r="AB52" s="1"/>
      <x:c r="AC52" s="1"/>
      <x:c r="AD52" s="1"/>
      <x:c r="AE52" s="1"/>
    </x:row>
    <x:row r="53" ht="18" customHeight="1">
      <x:c r="A53" s="38"/>
      <x:c r="B53" s="38"/>
      <x:c r="C53" s="38"/>
      <x:c r="D53" s="38"/>
      <x:c r="E53" s="263" t="str">
        <x:f>IF(B53="","",J53)</x:f>
      </x:c>
      <x:c r="F53" s="144"/>
      <x:c r="G53" s="144"/>
      <x:c r="H53" s="138"/>
      <x:c r="I53" s="38"/>
      <x:c r="J53" s="263" t="str">
        <x:f>IF(B53="","",MAX(0,O53+F53-G53))</x:f>
      </x:c>
      <x:c r="K53" s="144"/>
      <x:c r="L53" s="144"/>
      <x:c r="M53" s="138"/>
      <x:c r="N53" s="38"/>
      <x:c r="O53" s="263" t="str">
        <x:f>IF(B53="","",MAX(0,T53+K53-L53))</x:f>
      </x:c>
      <x:c r="P53" s="144"/>
      <x:c r="Q53" s="144"/>
      <x:c r="R53" s="138"/>
      <x:c r="S53" s="38"/>
      <x:c r="T53" s="263" t="str">
        <x:f>IF(B53="","",MAX(0,P53-Q53))</x:f>
      </x:c>
      <x:c r="U53" s="144"/>
      <x:c r="V53" s="144"/>
      <x:c r="W53" s="138"/>
      <x:c r="X53" s="263" t="str">
        <x:f>IF(B53="","",MAX(0,U53-V53))</x:f>
      </x:c>
      <x:c r="Y53" s="257" t="str">
        <x:f>IF(B53="","",IF(E53&lt;=0,0,IF(T53&gt;0,3,IF(O53&gt;0,2,1))))</x:f>
      </x:c>
      <x:c r="Z53" s="1"/>
      <x:c r="AA53" s="1"/>
      <x:c r="AB53" s="1"/>
      <x:c r="AC53" s="1"/>
      <x:c r="AD53" s="1"/>
      <x:c r="AE53" s="1"/>
    </x:row>
    <x:row r="54" ht="18" customHeight="1">
      <x:c r="A54" s="38"/>
      <x:c r="B54" s="38"/>
      <x:c r="C54" s="38"/>
      <x:c r="D54" s="38"/>
      <x:c r="E54" s="263" t="str">
        <x:f>IF(B54="","",J54)</x:f>
      </x:c>
      <x:c r="F54" s="144"/>
      <x:c r="G54" s="144"/>
      <x:c r="H54" s="138"/>
      <x:c r="I54" s="38"/>
      <x:c r="J54" s="263" t="str">
        <x:f>IF(B54="","",MAX(0,O54+F54-G54))</x:f>
      </x:c>
      <x:c r="K54" s="144"/>
      <x:c r="L54" s="144"/>
      <x:c r="M54" s="138"/>
      <x:c r="N54" s="38"/>
      <x:c r="O54" s="263" t="str">
        <x:f>IF(B54="","",MAX(0,T54+K54-L54))</x:f>
      </x:c>
      <x:c r="P54" s="144"/>
      <x:c r="Q54" s="144"/>
      <x:c r="R54" s="138"/>
      <x:c r="S54" s="38"/>
      <x:c r="T54" s="263" t="str">
        <x:f>IF(B54="","",MAX(0,P54-Q54))</x:f>
      </x:c>
      <x:c r="U54" s="144"/>
      <x:c r="V54" s="144"/>
      <x:c r="W54" s="138"/>
      <x:c r="X54" s="263" t="str">
        <x:f>IF(B54="","",MAX(0,U54-V54))</x:f>
      </x:c>
      <x:c r="Y54" s="257" t="str">
        <x:f>IF(B54="","",IF(E54&lt;=0,0,IF(T54&gt;0,3,IF(O54&gt;0,2,1))))</x:f>
      </x:c>
      <x:c r="Z54" s="1"/>
      <x:c r="AA54" s="1"/>
      <x:c r="AB54" s="1"/>
      <x:c r="AC54" s="1"/>
      <x:c r="AD54" s="1"/>
      <x:c r="AE54" s="1"/>
    </x:row>
    <x:row r="55" ht="18" customHeight="1">
      <x:c r="A55" s="38"/>
      <x:c r="B55" s="38"/>
      <x:c r="C55" s="38"/>
      <x:c r="D55" s="38"/>
      <x:c r="E55" s="263" t="str">
        <x:f>IF(B55="","",J55)</x:f>
      </x:c>
      <x:c r="F55" s="144"/>
      <x:c r="G55" s="144"/>
      <x:c r="H55" s="138"/>
      <x:c r="I55" s="38"/>
      <x:c r="J55" s="263" t="str">
        <x:f>IF(B55="","",MAX(0,O55+F55-G55))</x:f>
      </x:c>
      <x:c r="K55" s="144"/>
      <x:c r="L55" s="144"/>
      <x:c r="M55" s="138"/>
      <x:c r="N55" s="38"/>
      <x:c r="O55" s="263" t="str">
        <x:f>IF(B55="","",MAX(0,T55+K55-L55))</x:f>
      </x:c>
      <x:c r="P55" s="144"/>
      <x:c r="Q55" s="144"/>
      <x:c r="R55" s="138"/>
      <x:c r="S55" s="38"/>
      <x:c r="T55" s="263" t="str">
        <x:f>IF(B55="","",MAX(0,P55-Q55))</x:f>
      </x:c>
      <x:c r="U55" s="144"/>
      <x:c r="V55" s="144"/>
      <x:c r="W55" s="138"/>
      <x:c r="X55" s="263" t="str">
        <x:f>IF(B55="","",MAX(0,U55-V55))</x:f>
      </x:c>
      <x:c r="Y55" s="257" t="str">
        <x:f>IF(B55="","",IF(E55&lt;=0,0,IF(T55&gt;0,3,IF(O55&gt;0,2,1))))</x:f>
      </x:c>
      <x:c r="Z55" s="1"/>
      <x:c r="AA55" s="1"/>
      <x:c r="AB55" s="1"/>
      <x:c r="AC55" s="1"/>
      <x:c r="AD55" s="1"/>
      <x:c r="AE55" s="1"/>
    </x:row>
    <x:row r="56" ht="18" customHeight="1">
      <x:c r="A56" s="38"/>
      <x:c r="B56" s="38"/>
      <x:c r="C56" s="38"/>
      <x:c r="D56" s="38"/>
      <x:c r="E56" s="263" t="str">
        <x:f>IF(B56="","",J56)</x:f>
      </x:c>
      <x:c r="F56" s="144"/>
      <x:c r="G56" s="144"/>
      <x:c r="H56" s="138"/>
      <x:c r="I56" s="38"/>
      <x:c r="J56" s="263" t="str">
        <x:f>IF(B56="","",MAX(0,O56+F56-G56))</x:f>
      </x:c>
      <x:c r="K56" s="144"/>
      <x:c r="L56" s="144"/>
      <x:c r="M56" s="138"/>
      <x:c r="N56" s="38"/>
      <x:c r="O56" s="263" t="str">
        <x:f>IF(B56="","",MAX(0,T56+K56-L56))</x:f>
      </x:c>
      <x:c r="P56" s="144"/>
      <x:c r="Q56" s="144"/>
      <x:c r="R56" s="138"/>
      <x:c r="S56" s="38"/>
      <x:c r="T56" s="263" t="str">
        <x:f>IF(B56="","",MAX(0,P56-Q56))</x:f>
      </x:c>
      <x:c r="U56" s="144"/>
      <x:c r="V56" s="144"/>
      <x:c r="W56" s="138"/>
      <x:c r="X56" s="263" t="str">
        <x:f>IF(B56="","",MAX(0,U56-V56))</x:f>
      </x:c>
      <x:c r="Y56" s="257" t="str">
        <x:f>IF(B56="","",IF(E56&lt;=0,0,IF(T56&gt;0,3,IF(O56&gt;0,2,1))))</x:f>
      </x:c>
      <x:c r="Z56" s="1"/>
      <x:c r="AA56" s="1"/>
      <x:c r="AB56" s="1"/>
      <x:c r="AC56" s="1"/>
      <x:c r="AD56" s="1"/>
      <x:c r="AE56" s="1"/>
    </x:row>
    <x:row r="57" ht="18" customHeight="1">
      <x:c r="A57" s="38"/>
      <x:c r="B57" s="38"/>
      <x:c r="C57" s="38"/>
      <x:c r="D57" s="38"/>
      <x:c r="E57" s="263" t="str">
        <x:f>IF(B57="","",J57)</x:f>
      </x:c>
      <x:c r="F57" s="144"/>
      <x:c r="G57" s="144"/>
      <x:c r="H57" s="138"/>
      <x:c r="I57" s="38"/>
      <x:c r="J57" s="263" t="str">
        <x:f>IF(B57="","",MAX(0,O57+F57-G57))</x:f>
      </x:c>
      <x:c r="K57" s="144"/>
      <x:c r="L57" s="144"/>
      <x:c r="M57" s="138"/>
      <x:c r="N57" s="38"/>
      <x:c r="O57" s="263" t="str">
        <x:f>IF(B57="","",MAX(0,T57+K57-L57))</x:f>
      </x:c>
      <x:c r="P57" s="144"/>
      <x:c r="Q57" s="144"/>
      <x:c r="R57" s="138"/>
      <x:c r="S57" s="38"/>
      <x:c r="T57" s="263" t="str">
        <x:f>IF(B57="","",MAX(0,P57-Q57))</x:f>
      </x:c>
      <x:c r="U57" s="144"/>
      <x:c r="V57" s="144"/>
      <x:c r="W57" s="138"/>
      <x:c r="X57" s="263" t="str">
        <x:f>IF(B57="","",MAX(0,U57-V57))</x:f>
      </x:c>
      <x:c r="Y57" s="257" t="str">
        <x:f>IF(B57="","",IF(E57&lt;=0,0,IF(T57&gt;0,3,IF(O57&gt;0,2,1))))</x:f>
      </x:c>
      <x:c r="Z57" s="1"/>
      <x:c r="AA57" s="1"/>
      <x:c r="AB57" s="1"/>
      <x:c r="AC57" s="1"/>
      <x:c r="AD57" s="1"/>
      <x:c r="AE57" s="1"/>
    </x:row>
    <x:row r="58" ht="18" customHeight="1">
      <x:c r="A58" s="38"/>
      <x:c r="B58" s="38"/>
      <x:c r="C58" s="38"/>
      <x:c r="D58" s="38"/>
      <x:c r="E58" s="263" t="str">
        <x:f>IF(B58="","",J58)</x:f>
      </x:c>
      <x:c r="F58" s="144"/>
      <x:c r="G58" s="144"/>
      <x:c r="H58" s="138"/>
      <x:c r="I58" s="38"/>
      <x:c r="J58" s="263" t="str">
        <x:f>IF(B58="","",MAX(0,O58+F58-G58))</x:f>
      </x:c>
      <x:c r="K58" s="144"/>
      <x:c r="L58" s="144"/>
      <x:c r="M58" s="138"/>
      <x:c r="N58" s="38"/>
      <x:c r="O58" s="263" t="str">
        <x:f>IF(B58="","",MAX(0,T58+K58-L58))</x:f>
      </x:c>
      <x:c r="P58" s="144"/>
      <x:c r="Q58" s="144"/>
      <x:c r="R58" s="138"/>
      <x:c r="S58" s="38"/>
      <x:c r="T58" s="263" t="str">
        <x:f>IF(B58="","",MAX(0,P58-Q58))</x:f>
      </x:c>
      <x:c r="U58" s="144"/>
      <x:c r="V58" s="144"/>
      <x:c r="W58" s="138"/>
      <x:c r="X58" s="263" t="str">
        <x:f>IF(B58="","",MAX(0,U58-V58))</x:f>
      </x:c>
      <x:c r="Y58" s="257" t="str">
        <x:f>IF(B58="","",IF(E58&lt;=0,0,IF(T58&gt;0,3,IF(O58&gt;0,2,1))))</x:f>
      </x:c>
      <x:c r="Z58" s="1"/>
      <x:c r="AA58" s="1"/>
      <x:c r="AB58" s="1"/>
      <x:c r="AC58" s="1"/>
      <x:c r="AD58" s="1"/>
      <x:c r="AE58" s="1"/>
    </x:row>
    <x:row r="59" ht="18" customHeight="1">
      <x:c r="A59" s="38"/>
      <x:c r="B59" s="38"/>
      <x:c r="C59" s="38"/>
      <x:c r="D59" s="38"/>
      <x:c r="E59" s="263" t="str">
        <x:f>IF(B59="","",J59)</x:f>
      </x:c>
      <x:c r="F59" s="144"/>
      <x:c r="G59" s="144"/>
      <x:c r="H59" s="138"/>
      <x:c r="I59" s="38"/>
      <x:c r="J59" s="263" t="str">
        <x:f>IF(B59="","",MAX(0,O59+F59-G59))</x:f>
      </x:c>
      <x:c r="K59" s="144"/>
      <x:c r="L59" s="144"/>
      <x:c r="M59" s="138"/>
      <x:c r="N59" s="38"/>
      <x:c r="O59" s="263" t="str">
        <x:f>IF(B59="","",MAX(0,T59+K59-L59))</x:f>
      </x:c>
      <x:c r="P59" s="144"/>
      <x:c r="Q59" s="144"/>
      <x:c r="R59" s="138"/>
      <x:c r="S59" s="38"/>
      <x:c r="T59" s="263" t="str">
        <x:f>IF(B59="","",MAX(0,P59-Q59))</x:f>
      </x:c>
      <x:c r="U59" s="144"/>
      <x:c r="V59" s="144"/>
      <x:c r="W59" s="138"/>
      <x:c r="X59" s="263" t="str">
        <x:f>IF(B59="","",MAX(0,U59-V59))</x:f>
      </x:c>
      <x:c r="Y59" s="257" t="str">
        <x:f>IF(B59="","",IF(E59&lt;=0,0,IF(T59&gt;0,3,IF(O59&gt;0,2,1))))</x:f>
      </x:c>
      <x:c r="Z59" s="1"/>
      <x:c r="AA59" s="1"/>
      <x:c r="AB59" s="1"/>
      <x:c r="AC59" s="1"/>
      <x:c r="AD59" s="1"/>
      <x:c r="AE59" s="1"/>
    </x:row>
    <x:row r="60" ht="18" customHeight="1">
      <x:c r="A60" s="38"/>
      <x:c r="B60" s="38"/>
      <x:c r="C60" s="38"/>
      <x:c r="D60" s="38"/>
      <x:c r="E60" s="263" t="str">
        <x:f>IF(B60="","",J60)</x:f>
      </x:c>
      <x:c r="F60" s="144"/>
      <x:c r="G60" s="144"/>
      <x:c r="H60" s="138"/>
      <x:c r="I60" s="38"/>
      <x:c r="J60" s="263" t="str">
        <x:f>IF(B60="","",MAX(0,O60+F60-G60))</x:f>
      </x:c>
      <x:c r="K60" s="144"/>
      <x:c r="L60" s="144"/>
      <x:c r="M60" s="138"/>
      <x:c r="N60" s="38"/>
      <x:c r="O60" s="263" t="str">
        <x:f>IF(B60="","",MAX(0,T60+K60-L60))</x:f>
      </x:c>
      <x:c r="P60" s="144"/>
      <x:c r="Q60" s="144"/>
      <x:c r="R60" s="138"/>
      <x:c r="S60" s="38"/>
      <x:c r="T60" s="263" t="str">
        <x:f>IF(B60="","",MAX(0,P60-Q60))</x:f>
      </x:c>
      <x:c r="U60" s="144"/>
      <x:c r="V60" s="144"/>
      <x:c r="W60" s="138"/>
      <x:c r="X60" s="263" t="str">
        <x:f>IF(B60="","",MAX(0,U60-V60))</x:f>
      </x:c>
      <x:c r="Y60" s="257" t="str">
        <x:f>IF(B60="","",IF(E60&lt;=0,0,IF(T60&gt;0,3,IF(O60&gt;0,2,1))))</x:f>
      </x:c>
      <x:c r="Z60" s="1"/>
      <x:c r="AA60" s="1"/>
      <x:c r="AB60" s="1"/>
      <x:c r="AC60" s="1"/>
      <x:c r="AD60" s="1"/>
      <x:c r="AE60" s="1"/>
    </x:row>
    <x:row r="61" ht="18" customHeight="1">
      <x:c r="A61" s="38"/>
      <x:c r="B61" s="38"/>
      <x:c r="C61" s="38"/>
      <x:c r="D61" s="38"/>
      <x:c r="E61" s="263" t="str">
        <x:f>IF(B61="","",J61)</x:f>
      </x:c>
      <x:c r="F61" s="144"/>
      <x:c r="G61" s="144"/>
      <x:c r="H61" s="138"/>
      <x:c r="I61" s="38"/>
      <x:c r="J61" s="263" t="str">
        <x:f>IF(B61="","",MAX(0,O61+F61-G61))</x:f>
      </x:c>
      <x:c r="K61" s="144"/>
      <x:c r="L61" s="144"/>
      <x:c r="M61" s="138"/>
      <x:c r="N61" s="38"/>
      <x:c r="O61" s="263" t="str">
        <x:f>IF(B61="","",MAX(0,T61+K61-L61))</x:f>
      </x:c>
      <x:c r="P61" s="144"/>
      <x:c r="Q61" s="144"/>
      <x:c r="R61" s="138"/>
      <x:c r="S61" s="38"/>
      <x:c r="T61" s="263" t="str">
        <x:f>IF(B61="","",MAX(0,P61-Q61))</x:f>
      </x:c>
      <x:c r="U61" s="144"/>
      <x:c r="V61" s="144"/>
      <x:c r="W61" s="138"/>
      <x:c r="X61" s="263" t="str">
        <x:f>IF(B61="","",MAX(0,U61-V61))</x:f>
      </x:c>
      <x:c r="Y61" s="257" t="str">
        <x:f>IF(B61="","",IF(E61&lt;=0,0,IF(T61&gt;0,3,IF(O61&gt;0,2,1))))</x:f>
      </x:c>
      <x:c r="Z61" s="1"/>
      <x:c r="AA61" s="1"/>
      <x:c r="AB61" s="1"/>
      <x:c r="AC61" s="1"/>
      <x:c r="AD61" s="1"/>
      <x:c r="AE61" s="1"/>
    </x:row>
    <x:row r="62" ht="18" customHeight="1">
      <x:c r="A62" s="38"/>
      <x:c r="B62" s="38"/>
      <x:c r="C62" s="38"/>
      <x:c r="D62" s="38"/>
      <x:c r="E62" s="263" t="str">
        <x:f>IF(B62="","",J62)</x:f>
      </x:c>
      <x:c r="F62" s="144"/>
      <x:c r="G62" s="144"/>
      <x:c r="H62" s="138"/>
      <x:c r="I62" s="38"/>
      <x:c r="J62" s="263" t="str">
        <x:f>IF(B62="","",MAX(0,O62+F62-G62))</x:f>
      </x:c>
      <x:c r="K62" s="144"/>
      <x:c r="L62" s="144"/>
      <x:c r="M62" s="138"/>
      <x:c r="N62" s="38"/>
      <x:c r="O62" s="263" t="str">
        <x:f>IF(B62="","",MAX(0,T62+K62-L62))</x:f>
      </x:c>
      <x:c r="P62" s="144"/>
      <x:c r="Q62" s="144"/>
      <x:c r="R62" s="138"/>
      <x:c r="S62" s="38"/>
      <x:c r="T62" s="263" t="str">
        <x:f>IF(B62="","",MAX(0,P62-Q62))</x:f>
      </x:c>
      <x:c r="U62" s="144"/>
      <x:c r="V62" s="144"/>
      <x:c r="W62" s="138"/>
      <x:c r="X62" s="263" t="str">
        <x:f>IF(B62="","",MAX(0,U62-V62))</x:f>
      </x:c>
      <x:c r="Y62" s="257" t="str">
        <x:f>IF(B62="","",IF(E62&lt;=0,0,IF(T62&gt;0,3,IF(O62&gt;0,2,1))))</x:f>
      </x:c>
      <x:c r="Z62" s="1"/>
      <x:c r="AA62" s="1"/>
      <x:c r="AB62" s="1"/>
      <x:c r="AC62" s="1"/>
      <x:c r="AD62" s="1"/>
      <x:c r="AE62" s="1"/>
    </x:row>
    <x:row r="63" ht="18" customHeight="1">
      <x:c r="A63" s="38"/>
      <x:c r="B63" s="38"/>
      <x:c r="C63" s="38"/>
      <x:c r="D63" s="38"/>
      <x:c r="E63" s="263" t="str">
        <x:f>IF(B63="","",J63)</x:f>
      </x:c>
      <x:c r="F63" s="144"/>
      <x:c r="G63" s="144"/>
      <x:c r="H63" s="138"/>
      <x:c r="I63" s="38"/>
      <x:c r="J63" s="263" t="str">
        <x:f>IF(B63="","",MAX(0,O63+F63-G63))</x:f>
      </x:c>
      <x:c r="K63" s="144"/>
      <x:c r="L63" s="144"/>
      <x:c r="M63" s="138"/>
      <x:c r="N63" s="38"/>
      <x:c r="O63" s="263" t="str">
        <x:f>IF(B63="","",MAX(0,T63+K63-L63))</x:f>
      </x:c>
      <x:c r="P63" s="144"/>
      <x:c r="Q63" s="144"/>
      <x:c r="R63" s="138"/>
      <x:c r="S63" s="38"/>
      <x:c r="T63" s="263" t="str">
        <x:f>IF(B63="","",MAX(0,P63-Q63))</x:f>
      </x:c>
      <x:c r="U63" s="144"/>
      <x:c r="V63" s="144"/>
      <x:c r="W63" s="138"/>
      <x:c r="X63" s="263" t="str">
        <x:f>IF(B63="","",MAX(0,U63-V63))</x:f>
      </x:c>
      <x:c r="Y63" s="257" t="str">
        <x:f>IF(B63="","",IF(E63&lt;=0,0,IF(T63&gt;0,3,IF(O63&gt;0,2,1))))</x:f>
      </x:c>
      <x:c r="Z63" s="1"/>
      <x:c r="AA63" s="1"/>
      <x:c r="AB63" s="1"/>
      <x:c r="AC63" s="1"/>
      <x:c r="AD63" s="1"/>
      <x:c r="AE63" s="1"/>
    </x:row>
    <x:row r="64" ht="18" customHeight="1">
      <x:c r="A64" s="38"/>
      <x:c r="B64" s="38"/>
      <x:c r="C64" s="38"/>
      <x:c r="D64" s="38"/>
      <x:c r="E64" s="263" t="str">
        <x:f>IF(B64="","",J64)</x:f>
      </x:c>
      <x:c r="F64" s="144"/>
      <x:c r="G64" s="144"/>
      <x:c r="H64" s="138"/>
      <x:c r="I64" s="38"/>
      <x:c r="J64" s="263" t="str">
        <x:f>IF(B64="","",MAX(0,O64+F64-G64))</x:f>
      </x:c>
      <x:c r="K64" s="144"/>
      <x:c r="L64" s="144"/>
      <x:c r="M64" s="138"/>
      <x:c r="N64" s="38"/>
      <x:c r="O64" s="263" t="str">
        <x:f>IF(B64="","",MAX(0,T64+K64-L64))</x:f>
      </x:c>
      <x:c r="P64" s="144"/>
      <x:c r="Q64" s="144"/>
      <x:c r="R64" s="138"/>
      <x:c r="S64" s="38"/>
      <x:c r="T64" s="263" t="str">
        <x:f>IF(B64="","",MAX(0,P64-Q64))</x:f>
      </x:c>
      <x:c r="U64" s="144"/>
      <x:c r="V64" s="144"/>
      <x:c r="W64" s="138"/>
      <x:c r="X64" s="263" t="str">
        <x:f>IF(B64="","",MAX(0,U64-V64))</x:f>
      </x:c>
      <x:c r="Y64" s="257" t="str">
        <x:f>IF(B64="","",IF(E64&lt;=0,0,IF(T64&gt;0,3,IF(O64&gt;0,2,1))))</x:f>
      </x:c>
      <x:c r="Z64" s="1"/>
      <x:c r="AA64" s="1"/>
      <x:c r="AB64" s="1"/>
      <x:c r="AC64" s="1"/>
      <x:c r="AD64" s="1"/>
      <x:c r="AE64" s="1"/>
    </x:row>
    <x:row r="65" ht="18" customHeight="1">
      <x:c r="A65" s="38"/>
      <x:c r="B65" s="38"/>
      <x:c r="C65" s="38"/>
      <x:c r="D65" s="38"/>
      <x:c r="E65" s="263" t="str">
        <x:f>IF(B65="","",J65)</x:f>
      </x:c>
      <x:c r="F65" s="144"/>
      <x:c r="G65" s="144"/>
      <x:c r="H65" s="138"/>
      <x:c r="I65" s="38"/>
      <x:c r="J65" s="263" t="str">
        <x:f>IF(B65="","",MAX(0,O65+F65-G65))</x:f>
      </x:c>
      <x:c r="K65" s="144"/>
      <x:c r="L65" s="144"/>
      <x:c r="M65" s="138"/>
      <x:c r="N65" s="38"/>
      <x:c r="O65" s="263" t="str">
        <x:f>IF(B65="","",MAX(0,T65+K65-L65))</x:f>
      </x:c>
      <x:c r="P65" s="144"/>
      <x:c r="Q65" s="144"/>
      <x:c r="R65" s="138"/>
      <x:c r="S65" s="38"/>
      <x:c r="T65" s="263" t="str">
        <x:f>IF(B65="","",MAX(0,P65-Q65))</x:f>
      </x:c>
      <x:c r="U65" s="144"/>
      <x:c r="V65" s="144"/>
      <x:c r="W65" s="138"/>
      <x:c r="X65" s="263" t="str">
        <x:f>IF(B65="","",MAX(0,U65-V65))</x:f>
      </x:c>
      <x:c r="Y65" s="257" t="str">
        <x:f>IF(B65="","",IF(E65&lt;=0,0,IF(T65&gt;0,3,IF(O65&gt;0,2,1))))</x:f>
      </x:c>
      <x:c r="Z65" s="1"/>
      <x:c r="AA65" s="1"/>
      <x:c r="AB65" s="1"/>
      <x:c r="AC65" s="1"/>
      <x:c r="AD65" s="1"/>
      <x:c r="AE65" s="1"/>
    </x:row>
    <x:row r="66" ht="18" customHeight="1">
      <x:c r="A66" s="38"/>
      <x:c r="B66" s="38"/>
      <x:c r="C66" s="38"/>
      <x:c r="D66" s="38"/>
      <x:c r="E66" s="263" t="str">
        <x:f>IF(B66="","",J66)</x:f>
      </x:c>
      <x:c r="F66" s="144"/>
      <x:c r="G66" s="144"/>
      <x:c r="H66" s="138"/>
      <x:c r="I66" s="38"/>
      <x:c r="J66" s="263" t="str">
        <x:f>IF(B66="","",MAX(0,O66+F66-G66))</x:f>
      </x:c>
      <x:c r="K66" s="144"/>
      <x:c r="L66" s="144"/>
      <x:c r="M66" s="138"/>
      <x:c r="N66" s="38"/>
      <x:c r="O66" s="263" t="str">
        <x:f>IF(B66="","",MAX(0,T66+K66-L66))</x:f>
      </x:c>
      <x:c r="P66" s="144"/>
      <x:c r="Q66" s="144"/>
      <x:c r="R66" s="138"/>
      <x:c r="S66" s="38"/>
      <x:c r="T66" s="263" t="str">
        <x:f>IF(B66="","",MAX(0,P66-Q66))</x:f>
      </x:c>
      <x:c r="U66" s="144"/>
      <x:c r="V66" s="144"/>
      <x:c r="W66" s="138"/>
      <x:c r="X66" s="263" t="str">
        <x:f>IF(B66="","",MAX(0,U66-V66))</x:f>
      </x:c>
      <x:c r="Y66" s="257" t="str">
        <x:f>IF(B66="","",IF(E66&lt;=0,0,IF(T66&gt;0,3,IF(O66&gt;0,2,1))))</x:f>
      </x:c>
      <x:c r="Z66" s="1"/>
      <x:c r="AA66" s="1"/>
      <x:c r="AB66" s="1"/>
      <x:c r="AC66" s="1"/>
      <x:c r="AD66" s="1"/>
      <x:c r="AE66" s="1"/>
    </x:row>
    <x:row r="67" ht="18" customHeight="1">
      <x:c r="A67" s="38"/>
      <x:c r="B67" s="38"/>
      <x:c r="C67" s="38"/>
      <x:c r="D67" s="38"/>
      <x:c r="E67" s="263" t="str">
        <x:f>IF(B67="","",J67)</x:f>
      </x:c>
      <x:c r="F67" s="144"/>
      <x:c r="G67" s="144"/>
      <x:c r="H67" s="138"/>
      <x:c r="I67" s="38"/>
      <x:c r="J67" s="263" t="str">
        <x:f>IF(B67="","",MAX(0,O67+F67-G67))</x:f>
      </x:c>
      <x:c r="K67" s="144"/>
      <x:c r="L67" s="144"/>
      <x:c r="M67" s="138"/>
      <x:c r="N67" s="38"/>
      <x:c r="O67" s="263" t="str">
        <x:f>IF(B67="","",MAX(0,T67+K67-L67))</x:f>
      </x:c>
      <x:c r="P67" s="144"/>
      <x:c r="Q67" s="144"/>
      <x:c r="R67" s="138"/>
      <x:c r="S67" s="38"/>
      <x:c r="T67" s="263" t="str">
        <x:f>IF(B67="","",MAX(0,P67-Q67))</x:f>
      </x:c>
      <x:c r="U67" s="144"/>
      <x:c r="V67" s="144"/>
      <x:c r="W67" s="138"/>
      <x:c r="X67" s="263" t="str">
        <x:f>IF(B67="","",MAX(0,U67-V67))</x:f>
      </x:c>
      <x:c r="Y67" s="257" t="str">
        <x:f>IF(B67="","",IF(E67&lt;=0,0,IF(T67&gt;0,3,IF(O67&gt;0,2,1))))</x:f>
      </x:c>
      <x:c r="Z67" s="1"/>
      <x:c r="AA67" s="1"/>
      <x:c r="AB67" s="1"/>
      <x:c r="AC67" s="1"/>
      <x:c r="AD67" s="1"/>
      <x:c r="AE67" s="1"/>
    </x:row>
    <x:row r="68" ht="18" customHeight="1">
      <x:c r="A68" s="38"/>
      <x:c r="B68" s="38"/>
      <x:c r="C68" s="38"/>
      <x:c r="D68" s="38"/>
      <x:c r="E68" s="263" t="str">
        <x:f>IF(B68="","",J68)</x:f>
      </x:c>
      <x:c r="F68" s="144"/>
      <x:c r="G68" s="144"/>
      <x:c r="H68" s="138"/>
      <x:c r="I68" s="38"/>
      <x:c r="J68" s="263" t="str">
        <x:f>IF(B68="","",MAX(0,O68+F68-G68))</x:f>
      </x:c>
      <x:c r="K68" s="144"/>
      <x:c r="L68" s="144"/>
      <x:c r="M68" s="138"/>
      <x:c r="N68" s="38"/>
      <x:c r="O68" s="263" t="str">
        <x:f>IF(B68="","",MAX(0,T68+K68-L68))</x:f>
      </x:c>
      <x:c r="P68" s="144"/>
      <x:c r="Q68" s="144"/>
      <x:c r="R68" s="138"/>
      <x:c r="S68" s="38"/>
      <x:c r="T68" s="263" t="str">
        <x:f>IF(B68="","",MAX(0,P68-Q68))</x:f>
      </x:c>
      <x:c r="U68" s="144"/>
      <x:c r="V68" s="144"/>
      <x:c r="W68" s="138"/>
      <x:c r="X68" s="263" t="str">
        <x:f>IF(B68="","",MAX(0,U68-V68))</x:f>
      </x:c>
      <x:c r="Y68" s="257" t="str">
        <x:f>IF(B68="","",IF(E68&lt;=0,0,IF(T68&gt;0,3,IF(O68&gt;0,2,1))))</x:f>
      </x:c>
      <x:c r="Z68" s="1"/>
      <x:c r="AA68" s="1"/>
      <x:c r="AB68" s="1"/>
      <x:c r="AC68" s="1"/>
      <x:c r="AD68" s="1"/>
      <x:c r="AE68" s="1"/>
    </x:row>
    <x:row r="69" ht="18" customHeight="1">
      <x:c r="A69" s="38"/>
      <x:c r="B69" s="38"/>
      <x:c r="C69" s="38"/>
      <x:c r="D69" s="38"/>
      <x:c r="E69" s="263" t="str">
        <x:f>IF(B69="","",J69)</x:f>
      </x:c>
      <x:c r="F69" s="144"/>
      <x:c r="G69" s="144"/>
      <x:c r="H69" s="138"/>
      <x:c r="I69" s="38"/>
      <x:c r="J69" s="263" t="str">
        <x:f>IF(B69="","",MAX(0,O69+F69-G69))</x:f>
      </x:c>
      <x:c r="K69" s="144"/>
      <x:c r="L69" s="144"/>
      <x:c r="M69" s="138"/>
      <x:c r="N69" s="38"/>
      <x:c r="O69" s="263" t="str">
        <x:f>IF(B69="","",MAX(0,T69+K69-L69))</x:f>
      </x:c>
      <x:c r="P69" s="144"/>
      <x:c r="Q69" s="144"/>
      <x:c r="R69" s="138"/>
      <x:c r="S69" s="38"/>
      <x:c r="T69" s="263" t="str">
        <x:f>IF(B69="","",MAX(0,P69-Q69))</x:f>
      </x:c>
      <x:c r="U69" s="144"/>
      <x:c r="V69" s="144"/>
      <x:c r="W69" s="138"/>
      <x:c r="X69" s="263" t="str">
        <x:f>IF(B69="","",MAX(0,U69-V69))</x:f>
      </x:c>
      <x:c r="Y69" s="257" t="str">
        <x:f>IF(B69="","",IF(E69&lt;=0,0,IF(T69&gt;0,3,IF(O69&gt;0,2,1))))</x:f>
      </x:c>
      <x:c r="Z69" s="1"/>
      <x:c r="AA69" s="1"/>
      <x:c r="AB69" s="1"/>
      <x:c r="AC69" s="1"/>
      <x:c r="AD69" s="1"/>
      <x:c r="AE69" s="1"/>
    </x:row>
    <x:row r="70" ht="18" customHeight="1">
      <x:c r="A70" s="38"/>
      <x:c r="B70" s="38"/>
      <x:c r="C70" s="38"/>
      <x:c r="D70" s="38"/>
      <x:c r="E70" s="263" t="str">
        <x:f>IF(B70="","",J70)</x:f>
      </x:c>
      <x:c r="F70" s="144"/>
      <x:c r="G70" s="144"/>
      <x:c r="H70" s="138"/>
      <x:c r="I70" s="38"/>
      <x:c r="J70" s="263" t="str">
        <x:f>IF(B70="","",MAX(0,O70+F70-G70))</x:f>
      </x:c>
      <x:c r="K70" s="144"/>
      <x:c r="L70" s="144"/>
      <x:c r="M70" s="138"/>
      <x:c r="N70" s="38"/>
      <x:c r="O70" s="263" t="str">
        <x:f>IF(B70="","",MAX(0,T70+K70-L70))</x:f>
      </x:c>
      <x:c r="P70" s="144"/>
      <x:c r="Q70" s="144"/>
      <x:c r="R70" s="138"/>
      <x:c r="S70" s="38"/>
      <x:c r="T70" s="263" t="str">
        <x:f>IF(B70="","",MAX(0,P70-Q70))</x:f>
      </x:c>
      <x:c r="U70" s="144"/>
      <x:c r="V70" s="144"/>
      <x:c r="W70" s="138"/>
      <x:c r="X70" s="263" t="str">
        <x:f>IF(B70="","",MAX(0,U70-V70))</x:f>
      </x:c>
      <x:c r="Y70" s="257" t="str">
        <x:f>IF(B70="","",IF(E70&lt;=0,0,IF(T70&gt;0,3,IF(O70&gt;0,2,1))))</x:f>
      </x:c>
      <x:c r="Z70" s="1"/>
      <x:c r="AA70" s="1"/>
      <x:c r="AB70" s="1"/>
      <x:c r="AC70" s="1"/>
      <x:c r="AD70" s="1"/>
      <x:c r="AE70" s="1"/>
    </x:row>
    <x:row r="71" ht="18" customHeight="1">
      <x:c r="A71" s="38"/>
      <x:c r="B71" s="38"/>
      <x:c r="C71" s="38"/>
      <x:c r="D71" s="38"/>
      <x:c r="E71" s="263" t="str">
        <x:f>IF(B71="","",J71)</x:f>
      </x:c>
      <x:c r="F71" s="144"/>
      <x:c r="G71" s="144"/>
      <x:c r="H71" s="138"/>
      <x:c r="I71" s="38"/>
      <x:c r="J71" s="263" t="str">
        <x:f>IF(B71="","",MAX(0,O71+F71-G71))</x:f>
      </x:c>
      <x:c r="K71" s="144"/>
      <x:c r="L71" s="144"/>
      <x:c r="M71" s="138"/>
      <x:c r="N71" s="38"/>
      <x:c r="O71" s="263" t="str">
        <x:f>IF(B71="","",MAX(0,T71+K71-L71))</x:f>
      </x:c>
      <x:c r="P71" s="144"/>
      <x:c r="Q71" s="144"/>
      <x:c r="R71" s="138"/>
      <x:c r="S71" s="38"/>
      <x:c r="T71" s="263" t="str">
        <x:f>IF(B71="","",MAX(0,P71-Q71))</x:f>
      </x:c>
      <x:c r="U71" s="144"/>
      <x:c r="V71" s="144"/>
      <x:c r="W71" s="138"/>
      <x:c r="X71" s="263" t="str">
        <x:f>IF(B71="","",MAX(0,U71-V71))</x:f>
      </x:c>
      <x:c r="Y71" s="257" t="str">
        <x:f>IF(B71="","",IF(E71&lt;=0,0,IF(T71&gt;0,3,IF(O71&gt;0,2,1))))</x:f>
      </x:c>
      <x:c r="Z71" s="1"/>
      <x:c r="AA71" s="1"/>
      <x:c r="AB71" s="1"/>
      <x:c r="AC71" s="1"/>
      <x:c r="AD71" s="1"/>
      <x:c r="AE71" s="1"/>
    </x:row>
    <x:row r="72" ht="18" customHeight="1">
      <x:c r="A72" s="38"/>
      <x:c r="B72" s="38"/>
      <x:c r="C72" s="38"/>
      <x:c r="D72" s="38"/>
      <x:c r="E72" s="263" t="str">
        <x:f>IF(B72="","",J72)</x:f>
      </x:c>
      <x:c r="F72" s="144"/>
      <x:c r="G72" s="144"/>
      <x:c r="H72" s="138"/>
      <x:c r="I72" s="38"/>
      <x:c r="J72" s="263" t="str">
        <x:f>IF(B72="","",MAX(0,O72+F72-G72))</x:f>
      </x:c>
      <x:c r="K72" s="144"/>
      <x:c r="L72" s="144"/>
      <x:c r="M72" s="138"/>
      <x:c r="N72" s="38"/>
      <x:c r="O72" s="263" t="str">
        <x:f>IF(B72="","",MAX(0,T72+K72-L72))</x:f>
      </x:c>
      <x:c r="P72" s="144"/>
      <x:c r="Q72" s="144"/>
      <x:c r="R72" s="138"/>
      <x:c r="S72" s="38"/>
      <x:c r="T72" s="263" t="str">
        <x:f>IF(B72="","",MAX(0,P72-Q72))</x:f>
      </x:c>
      <x:c r="U72" s="144"/>
      <x:c r="V72" s="144"/>
      <x:c r="W72" s="138"/>
      <x:c r="X72" s="263" t="str">
        <x:f>IF(B72="","",MAX(0,U72-V72))</x:f>
      </x:c>
      <x:c r="Y72" s="257" t="str">
        <x:f>IF(B72="","",IF(E72&lt;=0,0,IF(T72&gt;0,3,IF(O72&gt;0,2,1))))</x:f>
      </x:c>
      <x:c r="Z72" s="1"/>
      <x:c r="AA72" s="1"/>
      <x:c r="AB72" s="1"/>
      <x:c r="AC72" s="1"/>
      <x:c r="AD72" s="1"/>
      <x:c r="AE72" s="1"/>
    </x:row>
    <x:row r="73" ht="18" customHeight="1">
      <x:c r="A73" s="38"/>
      <x:c r="B73" s="38"/>
      <x:c r="C73" s="38"/>
      <x:c r="D73" s="38"/>
      <x:c r="E73" s="263" t="str">
        <x:f>IF(B73="","",J73)</x:f>
      </x:c>
      <x:c r="F73" s="144"/>
      <x:c r="G73" s="144"/>
      <x:c r="H73" s="138"/>
      <x:c r="I73" s="38"/>
      <x:c r="J73" s="263" t="str">
        <x:f>IF(B73="","",MAX(0,O73+F73-G73))</x:f>
      </x:c>
      <x:c r="K73" s="144"/>
      <x:c r="L73" s="144"/>
      <x:c r="M73" s="138"/>
      <x:c r="N73" s="38"/>
      <x:c r="O73" s="263" t="str">
        <x:f>IF(B73="","",MAX(0,T73+K73-L73))</x:f>
      </x:c>
      <x:c r="P73" s="144"/>
      <x:c r="Q73" s="144"/>
      <x:c r="R73" s="138"/>
      <x:c r="S73" s="38"/>
      <x:c r="T73" s="263" t="str">
        <x:f>IF(B73="","",MAX(0,P73-Q73))</x:f>
      </x:c>
      <x:c r="U73" s="144"/>
      <x:c r="V73" s="144"/>
      <x:c r="W73" s="138"/>
      <x:c r="X73" s="263" t="str">
        <x:f>IF(B73="","",MAX(0,U73-V73))</x:f>
      </x:c>
      <x:c r="Y73" s="257" t="str">
        <x:f>IF(B73="","",IF(E73&lt;=0,0,IF(T73&gt;0,3,IF(O73&gt;0,2,1))))</x:f>
      </x:c>
      <x:c r="Z73" s="1"/>
      <x:c r="AA73" s="1"/>
      <x:c r="AB73" s="1"/>
      <x:c r="AC73" s="1"/>
      <x:c r="AD73" s="1"/>
      <x:c r="AE73" s="1"/>
    </x:row>
    <x:row r="74" ht="18" customHeight="1">
      <x:c r="A74" s="38"/>
      <x:c r="B74" s="38"/>
      <x:c r="C74" s="38"/>
      <x:c r="D74" s="38"/>
      <x:c r="E74" s="263" t="str">
        <x:f>IF(B74="","",J74)</x:f>
      </x:c>
      <x:c r="F74" s="144"/>
      <x:c r="G74" s="144"/>
      <x:c r="H74" s="138"/>
      <x:c r="I74" s="38"/>
      <x:c r="J74" s="263" t="str">
        <x:f>IF(B74="","",MAX(0,O74+F74-G74))</x:f>
      </x:c>
      <x:c r="K74" s="144"/>
      <x:c r="L74" s="144"/>
      <x:c r="M74" s="138"/>
      <x:c r="N74" s="38"/>
      <x:c r="O74" s="263" t="str">
        <x:f>IF(B74="","",MAX(0,T74+K74-L74))</x:f>
      </x:c>
      <x:c r="P74" s="144"/>
      <x:c r="Q74" s="144"/>
      <x:c r="R74" s="138"/>
      <x:c r="S74" s="38"/>
      <x:c r="T74" s="263" t="str">
        <x:f>IF(B74="","",MAX(0,P74-Q74))</x:f>
      </x:c>
      <x:c r="U74" s="144"/>
      <x:c r="V74" s="144"/>
      <x:c r="W74" s="138"/>
      <x:c r="X74" s="263" t="str">
        <x:f>IF(B74="","",MAX(0,U74-V74))</x:f>
      </x:c>
      <x:c r="Y74" s="257" t="str">
        <x:f>IF(B74="","",IF(E74&lt;=0,0,IF(T74&gt;0,3,IF(O74&gt;0,2,1))))</x:f>
      </x:c>
      <x:c r="Z74" s="1"/>
      <x:c r="AA74" s="1"/>
      <x:c r="AB74" s="1"/>
      <x:c r="AC74" s="1"/>
      <x:c r="AD74" s="1"/>
      <x:c r="AE74" s="1"/>
    </x:row>
    <x:row r="75" ht="18" customHeight="1">
      <x:c r="A75" s="38"/>
      <x:c r="B75" s="38"/>
      <x:c r="C75" s="38"/>
      <x:c r="D75" s="38"/>
      <x:c r="E75" s="263" t="str">
        <x:f>IF(B75="","",J75)</x:f>
      </x:c>
      <x:c r="F75" s="144"/>
      <x:c r="G75" s="144"/>
      <x:c r="H75" s="138"/>
      <x:c r="I75" s="38"/>
      <x:c r="J75" s="263" t="str">
        <x:f>IF(B75="","",MAX(0,O75+F75-G75))</x:f>
      </x:c>
      <x:c r="K75" s="144"/>
      <x:c r="L75" s="144"/>
      <x:c r="M75" s="138"/>
      <x:c r="N75" s="38"/>
      <x:c r="O75" s="263" t="str">
        <x:f>IF(B75="","",MAX(0,T75+K75-L75))</x:f>
      </x:c>
      <x:c r="P75" s="144"/>
      <x:c r="Q75" s="144"/>
      <x:c r="R75" s="138"/>
      <x:c r="S75" s="38"/>
      <x:c r="T75" s="263" t="str">
        <x:f>IF(B75="","",MAX(0,P75-Q75))</x:f>
      </x:c>
      <x:c r="U75" s="144"/>
      <x:c r="V75" s="144"/>
      <x:c r="W75" s="138"/>
      <x:c r="X75" s="263" t="str">
        <x:f>IF(B75="","",MAX(0,U75-V75))</x:f>
      </x:c>
      <x:c r="Y75" s="257" t="str">
        <x:f>IF(B75="","",IF(E75&lt;=0,0,IF(T75&gt;0,3,IF(O75&gt;0,2,1))))</x:f>
      </x:c>
      <x:c r="Z75" s="1"/>
      <x:c r="AA75" s="1"/>
      <x:c r="AB75" s="1"/>
      <x:c r="AC75" s="1"/>
      <x:c r="AD75" s="1"/>
      <x:c r="AE75" s="1"/>
    </x:row>
    <x:row r="76" ht="18" customHeight="1">
      <x:c r="A76" s="38"/>
      <x:c r="B76" s="38"/>
      <x:c r="C76" s="38"/>
      <x:c r="D76" s="38"/>
      <x:c r="E76" s="263" t="str">
        <x:f>IF(B76="","",J76)</x:f>
      </x:c>
      <x:c r="F76" s="144"/>
      <x:c r="G76" s="144"/>
      <x:c r="H76" s="138"/>
      <x:c r="I76" s="38"/>
      <x:c r="J76" s="263" t="str">
        <x:f>IF(B76="","",MAX(0,O76+F76-G76))</x:f>
      </x:c>
      <x:c r="K76" s="144"/>
      <x:c r="L76" s="144"/>
      <x:c r="M76" s="138"/>
      <x:c r="N76" s="38"/>
      <x:c r="O76" s="263" t="str">
        <x:f>IF(B76="","",MAX(0,T76+K76-L76))</x:f>
      </x:c>
      <x:c r="P76" s="144"/>
      <x:c r="Q76" s="144"/>
      <x:c r="R76" s="138"/>
      <x:c r="S76" s="38"/>
      <x:c r="T76" s="263" t="str">
        <x:f>IF(B76="","",MAX(0,P76-Q76))</x:f>
      </x:c>
      <x:c r="U76" s="144"/>
      <x:c r="V76" s="144"/>
      <x:c r="W76" s="138"/>
      <x:c r="X76" s="263" t="str">
        <x:f>IF(B76="","",MAX(0,U76-V76))</x:f>
      </x:c>
      <x:c r="Y76" s="257" t="str">
        <x:f>IF(B76="","",IF(E76&lt;=0,0,IF(T76&gt;0,3,IF(O76&gt;0,2,1))))</x:f>
      </x:c>
      <x:c r="Z76" s="1"/>
      <x:c r="AA76" s="1"/>
      <x:c r="AB76" s="1"/>
      <x:c r="AC76" s="1"/>
      <x:c r="AD76" s="1"/>
      <x:c r="AE76" s="1"/>
    </x:row>
    <x:row r="77" ht="18" customHeight="1">
      <x:c r="A77" s="38"/>
      <x:c r="B77" s="38"/>
      <x:c r="C77" s="38"/>
      <x:c r="D77" s="38"/>
      <x:c r="E77" s="263" t="str">
        <x:f>IF(B77="","",J77)</x:f>
      </x:c>
      <x:c r="F77" s="144"/>
      <x:c r="G77" s="144"/>
      <x:c r="H77" s="138"/>
      <x:c r="I77" s="38"/>
      <x:c r="J77" s="263" t="str">
        <x:f>IF(B77="","",MAX(0,O77+F77-G77))</x:f>
      </x:c>
      <x:c r="K77" s="144"/>
      <x:c r="L77" s="144"/>
      <x:c r="M77" s="138"/>
      <x:c r="N77" s="38"/>
      <x:c r="O77" s="263" t="str">
        <x:f>IF(B77="","",MAX(0,T77+K77-L77))</x:f>
      </x:c>
      <x:c r="P77" s="144"/>
      <x:c r="Q77" s="144"/>
      <x:c r="R77" s="138"/>
      <x:c r="S77" s="38"/>
      <x:c r="T77" s="263" t="str">
        <x:f>IF(B77="","",MAX(0,P77-Q77))</x:f>
      </x:c>
      <x:c r="U77" s="144"/>
      <x:c r="V77" s="144"/>
      <x:c r="W77" s="138"/>
      <x:c r="X77" s="263" t="str">
        <x:f>IF(B77="","",MAX(0,U77-V77))</x:f>
      </x:c>
      <x:c r="Y77" s="257" t="str">
        <x:f>IF(B77="","",IF(E77&lt;=0,0,IF(T77&gt;0,3,IF(O77&gt;0,2,1))))</x:f>
      </x:c>
      <x:c r="Z77" s="1"/>
      <x:c r="AA77" s="1"/>
      <x:c r="AB77" s="1"/>
      <x:c r="AC77" s="1"/>
      <x:c r="AD77" s="1"/>
      <x:c r="AE77" s="1"/>
    </x:row>
    <x:row r="78" ht="18" customHeight="1">
      <x:c r="A78" s="38"/>
      <x:c r="B78" s="38"/>
      <x:c r="C78" s="38"/>
      <x:c r="D78" s="38"/>
      <x:c r="E78" s="263" t="str">
        <x:f>IF(B78="","",J78)</x:f>
      </x:c>
      <x:c r="F78" s="144"/>
      <x:c r="G78" s="144"/>
      <x:c r="H78" s="138"/>
      <x:c r="I78" s="38"/>
      <x:c r="J78" s="263" t="str">
        <x:f>IF(B78="","",MAX(0,O78+F78-G78))</x:f>
      </x:c>
      <x:c r="K78" s="144"/>
      <x:c r="L78" s="144"/>
      <x:c r="M78" s="138"/>
      <x:c r="N78" s="38"/>
      <x:c r="O78" s="263" t="str">
        <x:f>IF(B78="","",MAX(0,T78+K78-L78))</x:f>
      </x:c>
      <x:c r="P78" s="144"/>
      <x:c r="Q78" s="144"/>
      <x:c r="R78" s="138"/>
      <x:c r="S78" s="38"/>
      <x:c r="T78" s="263" t="str">
        <x:f>IF(B78="","",MAX(0,P78-Q78))</x:f>
      </x:c>
      <x:c r="U78" s="144"/>
      <x:c r="V78" s="144"/>
      <x:c r="W78" s="138"/>
      <x:c r="X78" s="263" t="str">
        <x:f>IF(B78="","",MAX(0,U78-V78))</x:f>
      </x:c>
      <x:c r="Y78" s="257" t="str">
        <x:f>IF(B78="","",IF(E78&lt;=0,0,IF(T78&gt;0,3,IF(O78&gt;0,2,1))))</x:f>
      </x:c>
      <x:c r="Z78" s="1"/>
      <x:c r="AA78" s="1"/>
      <x:c r="AB78" s="1"/>
      <x:c r="AC78" s="1"/>
      <x:c r="AD78" s="1"/>
      <x:c r="AE78" s="1"/>
    </x:row>
    <x:row r="79" ht="18" customHeight="1">
      <x:c r="A79" s="38"/>
      <x:c r="B79" s="38"/>
      <x:c r="C79" s="38"/>
      <x:c r="D79" s="38"/>
      <x:c r="E79" s="263" t="str">
        <x:f>IF(B79="","",J79)</x:f>
      </x:c>
      <x:c r="F79" s="144"/>
      <x:c r="G79" s="144"/>
      <x:c r="H79" s="138"/>
      <x:c r="I79" s="38"/>
      <x:c r="J79" s="263" t="str">
        <x:f>IF(B79="","",MAX(0,O79+F79-G79))</x:f>
      </x:c>
      <x:c r="K79" s="144"/>
      <x:c r="L79" s="144"/>
      <x:c r="M79" s="138"/>
      <x:c r="N79" s="38"/>
      <x:c r="O79" s="263" t="str">
        <x:f>IF(B79="","",MAX(0,T79+K79-L79))</x:f>
      </x:c>
      <x:c r="P79" s="144"/>
      <x:c r="Q79" s="144"/>
      <x:c r="R79" s="138"/>
      <x:c r="S79" s="38"/>
      <x:c r="T79" s="263" t="str">
        <x:f>IF(B79="","",MAX(0,P79-Q79))</x:f>
      </x:c>
      <x:c r="U79" s="144"/>
      <x:c r="V79" s="144"/>
      <x:c r="W79" s="138"/>
      <x:c r="X79" s="263" t="str">
        <x:f>IF(B79="","",MAX(0,U79-V79))</x:f>
      </x:c>
      <x:c r="Y79" s="257" t="str">
        <x:f>IF(B79="","",IF(E79&lt;=0,0,IF(T79&gt;0,3,IF(O79&gt;0,2,1))))</x:f>
      </x:c>
      <x:c r="Z79" s="1"/>
      <x:c r="AA79" s="1"/>
      <x:c r="AB79" s="1"/>
      <x:c r="AC79" s="1"/>
      <x:c r="AD79" s="1"/>
      <x:c r="AE79" s="1"/>
    </x:row>
    <x:row r="80" ht="18" customHeight="1">
      <x:c r="A80" s="38"/>
      <x:c r="B80" s="38"/>
      <x:c r="C80" s="38"/>
      <x:c r="D80" s="38"/>
      <x:c r="E80" s="263" t="str">
        <x:f>IF(B80="","",J80)</x:f>
      </x:c>
      <x:c r="F80" s="144"/>
      <x:c r="G80" s="144"/>
      <x:c r="H80" s="138"/>
      <x:c r="I80" s="38"/>
      <x:c r="J80" s="263" t="str">
        <x:f>IF(B80="","",MAX(0,O80+F80-G80))</x:f>
      </x:c>
      <x:c r="K80" s="144"/>
      <x:c r="L80" s="144"/>
      <x:c r="M80" s="138"/>
      <x:c r="N80" s="38"/>
      <x:c r="O80" s="263" t="str">
        <x:f>IF(B80="","",MAX(0,T80+K80-L80))</x:f>
      </x:c>
      <x:c r="P80" s="144"/>
      <x:c r="Q80" s="144"/>
      <x:c r="R80" s="138"/>
      <x:c r="S80" s="38"/>
      <x:c r="T80" s="263" t="str">
        <x:f>IF(B80="","",MAX(0,P80-Q80))</x:f>
      </x:c>
      <x:c r="U80" s="144"/>
      <x:c r="V80" s="144"/>
      <x:c r="W80" s="138"/>
      <x:c r="X80" s="263" t="str">
        <x:f>IF(B80="","",MAX(0,U80-V80))</x:f>
      </x:c>
      <x:c r="Y80" s="257" t="str">
        <x:f>IF(B80="","",IF(E80&lt;=0,0,IF(T80&gt;0,3,IF(O80&gt;0,2,1))))</x:f>
      </x:c>
      <x:c r="Z80" s="1"/>
      <x:c r="AA80" s="1"/>
      <x:c r="AB80" s="1"/>
      <x:c r="AC80" s="1"/>
      <x:c r="AD80" s="1"/>
      <x:c r="AE80" s="1"/>
    </x:row>
    <x:row r="81" ht="18" customHeight="1">
      <x:c r="A81" s="38"/>
      <x:c r="B81" s="38"/>
      <x:c r="C81" s="38"/>
      <x:c r="D81" s="38"/>
      <x:c r="E81" s="263" t="str">
        <x:f>IF(B81="","",J81)</x:f>
      </x:c>
      <x:c r="F81" s="144"/>
      <x:c r="G81" s="144"/>
      <x:c r="H81" s="138"/>
      <x:c r="I81" s="38"/>
      <x:c r="J81" s="263" t="str">
        <x:f>IF(B81="","",MAX(0,O81+F81-G81))</x:f>
      </x:c>
      <x:c r="K81" s="144"/>
      <x:c r="L81" s="144"/>
      <x:c r="M81" s="138"/>
      <x:c r="N81" s="38"/>
      <x:c r="O81" s="263" t="str">
        <x:f>IF(B81="","",MAX(0,T81+K81-L81))</x:f>
      </x:c>
      <x:c r="P81" s="144"/>
      <x:c r="Q81" s="144"/>
      <x:c r="R81" s="138"/>
      <x:c r="S81" s="38"/>
      <x:c r="T81" s="263" t="str">
        <x:f>IF(B81="","",MAX(0,P81-Q81))</x:f>
      </x:c>
      <x:c r="U81" s="144"/>
      <x:c r="V81" s="144"/>
      <x:c r="W81" s="138"/>
      <x:c r="X81" s="263" t="str">
        <x:f>IF(B81="","",MAX(0,U81-V81))</x:f>
      </x:c>
      <x:c r="Y81" s="257" t="str">
        <x:f>IF(B81="","",IF(E81&lt;=0,0,IF(T81&gt;0,3,IF(O81&gt;0,2,1))))</x:f>
      </x:c>
      <x:c r="Z81" s="1"/>
      <x:c r="AA81" s="1"/>
      <x:c r="AB81" s="1"/>
      <x:c r="AC81" s="1"/>
      <x:c r="AD81" s="1"/>
      <x:c r="AE81" s="1"/>
    </x:row>
    <x:row r="82" ht="18" customHeight="1">
      <x:c r="A82" s="38"/>
      <x:c r="B82" s="38"/>
      <x:c r="C82" s="38"/>
      <x:c r="D82" s="38"/>
      <x:c r="E82" s="263" t="str">
        <x:f>IF(B82="","",J82)</x:f>
      </x:c>
      <x:c r="F82" s="144"/>
      <x:c r="G82" s="144"/>
      <x:c r="H82" s="138"/>
      <x:c r="I82" s="38"/>
      <x:c r="J82" s="263" t="str">
        <x:f>IF(B82="","",MAX(0,O82+F82-G82))</x:f>
      </x:c>
      <x:c r="K82" s="144"/>
      <x:c r="L82" s="144"/>
      <x:c r="M82" s="138"/>
      <x:c r="N82" s="38"/>
      <x:c r="O82" s="263" t="str">
        <x:f>IF(B82="","",MAX(0,T82+K82-L82))</x:f>
      </x:c>
      <x:c r="P82" s="144"/>
      <x:c r="Q82" s="144"/>
      <x:c r="R82" s="138"/>
      <x:c r="S82" s="38"/>
      <x:c r="T82" s="263" t="str">
        <x:f>IF(B82="","",MAX(0,P82-Q82))</x:f>
      </x:c>
      <x:c r="U82" s="144"/>
      <x:c r="V82" s="144"/>
      <x:c r="W82" s="138"/>
      <x:c r="X82" s="263" t="str">
        <x:f>IF(B82="","",MAX(0,U82-V82))</x:f>
      </x:c>
      <x:c r="Y82" s="257" t="str">
        <x:f>IF(B82="","",IF(E82&lt;=0,0,IF(T82&gt;0,3,IF(O82&gt;0,2,1))))</x:f>
      </x:c>
      <x:c r="Z82" s="1"/>
      <x:c r="AA82" s="1"/>
      <x:c r="AB82" s="1"/>
      <x:c r="AC82" s="1"/>
      <x:c r="AD82" s="1"/>
      <x:c r="AE82" s="1"/>
    </x:row>
    <x:row r="83" ht="18" customHeight="1">
      <x:c r="A83" s="38"/>
      <x:c r="B83" s="38"/>
      <x:c r="C83" s="38"/>
      <x:c r="D83" s="38"/>
      <x:c r="E83" s="263" t="str">
        <x:f>IF(B83="","",J83)</x:f>
      </x:c>
      <x:c r="F83" s="144"/>
      <x:c r="G83" s="144"/>
      <x:c r="H83" s="138"/>
      <x:c r="I83" s="38"/>
      <x:c r="J83" s="263" t="str">
        <x:f>IF(B83="","",MAX(0,O83+F83-G83))</x:f>
      </x:c>
      <x:c r="K83" s="144"/>
      <x:c r="L83" s="144"/>
      <x:c r="M83" s="138"/>
      <x:c r="N83" s="38"/>
      <x:c r="O83" s="263" t="str">
        <x:f>IF(B83="","",MAX(0,T83+K83-L83))</x:f>
      </x:c>
      <x:c r="P83" s="144"/>
      <x:c r="Q83" s="144"/>
      <x:c r="R83" s="138"/>
      <x:c r="S83" s="38"/>
      <x:c r="T83" s="263" t="str">
        <x:f>IF(B83="","",MAX(0,P83-Q83))</x:f>
      </x:c>
      <x:c r="U83" s="144"/>
      <x:c r="V83" s="144"/>
      <x:c r="W83" s="138"/>
      <x:c r="X83" s="263" t="str">
        <x:f>IF(B83="","",MAX(0,U83-V83))</x:f>
      </x:c>
      <x:c r="Y83" s="257" t="str">
        <x:f>IF(B83="","",IF(E83&lt;=0,0,IF(T83&gt;0,3,IF(O83&gt;0,2,1))))</x:f>
      </x:c>
      <x:c r="Z83" s="1"/>
      <x:c r="AA83" s="1"/>
      <x:c r="AB83" s="1"/>
      <x:c r="AC83" s="1"/>
      <x:c r="AD83" s="1"/>
      <x:c r="AE83" s="1"/>
    </x:row>
    <x:row r="84" ht="18" customHeight="1">
      <x:c r="A84" s="38"/>
      <x:c r="B84" s="38"/>
      <x:c r="C84" s="38"/>
      <x:c r="D84" s="38"/>
      <x:c r="E84" s="263" t="str">
        <x:f>IF(B84="","",J84)</x:f>
      </x:c>
      <x:c r="F84" s="144"/>
      <x:c r="G84" s="144"/>
      <x:c r="H84" s="138"/>
      <x:c r="I84" s="38"/>
      <x:c r="J84" s="263" t="str">
        <x:f>IF(B84="","",MAX(0,O84+F84-G84))</x:f>
      </x:c>
      <x:c r="K84" s="144"/>
      <x:c r="L84" s="144"/>
      <x:c r="M84" s="138"/>
      <x:c r="N84" s="38"/>
      <x:c r="O84" s="263" t="str">
        <x:f>IF(B84="","",MAX(0,T84+K84-L84))</x:f>
      </x:c>
      <x:c r="P84" s="144"/>
      <x:c r="Q84" s="144"/>
      <x:c r="R84" s="138"/>
      <x:c r="S84" s="38"/>
      <x:c r="T84" s="263" t="str">
        <x:f>IF(B84="","",MAX(0,P84-Q84))</x:f>
      </x:c>
      <x:c r="U84" s="144"/>
      <x:c r="V84" s="144"/>
      <x:c r="W84" s="138"/>
      <x:c r="X84" s="263" t="str">
        <x:f>IF(B84="","",MAX(0,U84-V84))</x:f>
      </x:c>
      <x:c r="Y84" s="257" t="str">
        <x:f>IF(B84="","",IF(E84&lt;=0,0,IF(T84&gt;0,3,IF(O84&gt;0,2,1))))</x:f>
      </x:c>
      <x:c r="Z84" s="1"/>
      <x:c r="AA84" s="1"/>
      <x:c r="AB84" s="1"/>
      <x:c r="AC84" s="1"/>
      <x:c r="AD84" s="1"/>
      <x:c r="AE84" s="1"/>
    </x:row>
    <x:row r="85" ht="18" customHeight="1">
      <x:c r="A85" s="38"/>
      <x:c r="B85" s="38"/>
      <x:c r="C85" s="38"/>
      <x:c r="D85" s="38"/>
      <x:c r="E85" s="263" t="str">
        <x:f>IF(B85="","",J85)</x:f>
      </x:c>
      <x:c r="F85" s="144"/>
      <x:c r="G85" s="144"/>
      <x:c r="H85" s="138"/>
      <x:c r="I85" s="38"/>
      <x:c r="J85" s="263" t="str">
        <x:f>IF(B85="","",MAX(0,O85+F85-G85))</x:f>
      </x:c>
      <x:c r="K85" s="144"/>
      <x:c r="L85" s="144"/>
      <x:c r="M85" s="138"/>
      <x:c r="N85" s="38"/>
      <x:c r="O85" s="263" t="str">
        <x:f>IF(B85="","",MAX(0,T85+K85-L85))</x:f>
      </x:c>
      <x:c r="P85" s="144"/>
      <x:c r="Q85" s="144"/>
      <x:c r="R85" s="138"/>
      <x:c r="S85" s="38"/>
      <x:c r="T85" s="263" t="str">
        <x:f>IF(B85="","",MAX(0,P85-Q85))</x:f>
      </x:c>
      <x:c r="U85" s="144"/>
      <x:c r="V85" s="144"/>
      <x:c r="W85" s="138"/>
      <x:c r="X85" s="263" t="str">
        <x:f>IF(B85="","",MAX(0,U85-V85))</x:f>
      </x:c>
      <x:c r="Y85" s="257" t="str">
        <x:f>IF(B85="","",IF(E85&lt;=0,0,IF(T85&gt;0,3,IF(O85&gt;0,2,1))))</x:f>
      </x:c>
      <x:c r="Z85" s="1"/>
      <x:c r="AA85" s="1"/>
      <x:c r="AB85" s="1"/>
      <x:c r="AC85" s="1"/>
      <x:c r="AD85" s="1"/>
      <x:c r="AE85" s="1"/>
    </x:row>
    <x:row r="86" ht="18" customHeight="1">
      <x:c r="A86" s="38"/>
      <x:c r="B86" s="38"/>
      <x:c r="C86" s="38"/>
      <x:c r="D86" s="38"/>
      <x:c r="E86" s="263" t="str">
        <x:f>IF(B86="","",J86)</x:f>
      </x:c>
      <x:c r="F86" s="144"/>
      <x:c r="G86" s="144"/>
      <x:c r="H86" s="138"/>
      <x:c r="I86" s="38"/>
      <x:c r="J86" s="263" t="str">
        <x:f>IF(B86="","",MAX(0,O86+F86-G86))</x:f>
      </x:c>
      <x:c r="K86" s="144"/>
      <x:c r="L86" s="144"/>
      <x:c r="M86" s="138"/>
      <x:c r="N86" s="38"/>
      <x:c r="O86" s="263" t="str">
        <x:f>IF(B86="","",MAX(0,T86+K86-L86))</x:f>
      </x:c>
      <x:c r="P86" s="144"/>
      <x:c r="Q86" s="144"/>
      <x:c r="R86" s="138"/>
      <x:c r="S86" s="38"/>
      <x:c r="T86" s="263" t="str">
        <x:f>IF(B86="","",MAX(0,P86-Q86))</x:f>
      </x:c>
      <x:c r="U86" s="144"/>
      <x:c r="V86" s="144"/>
      <x:c r="W86" s="138"/>
      <x:c r="X86" s="263" t="str">
        <x:f>IF(B86="","",MAX(0,U86-V86))</x:f>
      </x:c>
      <x:c r="Y86" s="257" t="str">
        <x:f>IF(B86="","",IF(E86&lt;=0,0,IF(T86&gt;0,3,IF(O86&gt;0,2,1))))</x:f>
      </x:c>
      <x:c r="Z86" s="1"/>
      <x:c r="AA86" s="1"/>
      <x:c r="AB86" s="1"/>
      <x:c r="AC86" s="1"/>
      <x:c r="AD86" s="1"/>
      <x:c r="AE86" s="1"/>
    </x:row>
    <x:row r="87" ht="18" customHeight="1">
      <x:c r="A87" s="38"/>
      <x:c r="B87" s="38"/>
      <x:c r="C87" s="38"/>
      <x:c r="D87" s="38"/>
      <x:c r="E87" s="263" t="str">
        <x:f>IF(B87="","",J87)</x:f>
      </x:c>
      <x:c r="F87" s="144"/>
      <x:c r="G87" s="144"/>
      <x:c r="H87" s="138"/>
      <x:c r="I87" s="38"/>
      <x:c r="J87" s="263" t="str">
        <x:f>IF(B87="","",MAX(0,O87+F87-G87))</x:f>
      </x:c>
      <x:c r="K87" s="144"/>
      <x:c r="L87" s="144"/>
      <x:c r="M87" s="138"/>
      <x:c r="N87" s="38"/>
      <x:c r="O87" s="263" t="str">
        <x:f>IF(B87="","",MAX(0,T87+K87-L87))</x:f>
      </x:c>
      <x:c r="P87" s="144"/>
      <x:c r="Q87" s="144"/>
      <x:c r="R87" s="138"/>
      <x:c r="S87" s="38"/>
      <x:c r="T87" s="263" t="str">
        <x:f>IF(B87="","",MAX(0,P87-Q87))</x:f>
      </x:c>
      <x:c r="U87" s="144"/>
      <x:c r="V87" s="144"/>
      <x:c r="W87" s="138"/>
      <x:c r="X87" s="263" t="str">
        <x:f>IF(B87="","",MAX(0,U87-V87))</x:f>
      </x:c>
      <x:c r="Y87" s="257" t="str">
        <x:f>IF(B87="","",IF(E87&lt;=0,0,IF(T87&gt;0,3,IF(O87&gt;0,2,1))))</x:f>
      </x:c>
      <x:c r="Z87" s="1"/>
      <x:c r="AA87" s="1"/>
      <x:c r="AB87" s="1"/>
      <x:c r="AC87" s="1"/>
      <x:c r="AD87" s="1"/>
      <x:c r="AE87" s="1"/>
    </x:row>
    <x:row r="88" ht="18" customHeight="1">
      <x:c r="A88" s="38"/>
      <x:c r="B88" s="38"/>
      <x:c r="C88" s="38"/>
      <x:c r="D88" s="38"/>
      <x:c r="E88" s="263" t="str">
        <x:f>IF(B88="","",J88)</x:f>
      </x:c>
      <x:c r="F88" s="144"/>
      <x:c r="G88" s="144"/>
      <x:c r="H88" s="138"/>
      <x:c r="I88" s="38"/>
      <x:c r="J88" s="263" t="str">
        <x:f>IF(B88="","",MAX(0,O88+F88-G88))</x:f>
      </x:c>
      <x:c r="K88" s="144"/>
      <x:c r="L88" s="144"/>
      <x:c r="M88" s="138"/>
      <x:c r="N88" s="38"/>
      <x:c r="O88" s="263" t="str">
        <x:f>IF(B88="","",MAX(0,T88+K88-L88))</x:f>
      </x:c>
      <x:c r="P88" s="144"/>
      <x:c r="Q88" s="144"/>
      <x:c r="R88" s="138"/>
      <x:c r="S88" s="38"/>
      <x:c r="T88" s="263" t="str">
        <x:f>IF(B88="","",MAX(0,P88-Q88))</x:f>
      </x:c>
      <x:c r="U88" s="144"/>
      <x:c r="V88" s="144"/>
      <x:c r="W88" s="138"/>
      <x:c r="X88" s="263" t="str">
        <x:f>IF(B88="","",MAX(0,U88-V88))</x:f>
      </x:c>
      <x:c r="Y88" s="257" t="str">
        <x:f>IF(B88="","",IF(E88&lt;=0,0,IF(T88&gt;0,3,IF(O88&gt;0,2,1))))</x:f>
      </x:c>
      <x:c r="Z88" s="1"/>
      <x:c r="AA88" s="1"/>
      <x:c r="AB88" s="1"/>
      <x:c r="AC88" s="1"/>
      <x:c r="AD88" s="1"/>
      <x:c r="AE88" s="1"/>
    </x:row>
    <x:row r="89" ht="18" customHeight="1">
      <x:c r="A89" s="38"/>
      <x:c r="B89" s="38"/>
      <x:c r="C89" s="38"/>
      <x:c r="D89" s="38"/>
      <x:c r="E89" s="263" t="str">
        <x:f>IF(B89="","",J89)</x:f>
      </x:c>
      <x:c r="F89" s="144"/>
      <x:c r="G89" s="144"/>
      <x:c r="H89" s="138"/>
      <x:c r="I89" s="38"/>
      <x:c r="J89" s="263" t="str">
        <x:f>IF(B89="","",MAX(0,O89+F89-G89))</x:f>
      </x:c>
      <x:c r="K89" s="144"/>
      <x:c r="L89" s="144"/>
      <x:c r="M89" s="138"/>
      <x:c r="N89" s="38"/>
      <x:c r="O89" s="263" t="str">
        <x:f>IF(B89="","",MAX(0,T89+K89-L89))</x:f>
      </x:c>
      <x:c r="P89" s="144"/>
      <x:c r="Q89" s="144"/>
      <x:c r="R89" s="138"/>
      <x:c r="S89" s="38"/>
      <x:c r="T89" s="263" t="str">
        <x:f>IF(B89="","",MAX(0,P89-Q89))</x:f>
      </x:c>
      <x:c r="U89" s="144"/>
      <x:c r="V89" s="144"/>
      <x:c r="W89" s="138"/>
      <x:c r="X89" s="263" t="str">
        <x:f>IF(B89="","",MAX(0,U89-V89))</x:f>
      </x:c>
      <x:c r="Y89" s="257" t="str">
        <x:f>IF(B89="","",IF(E89&lt;=0,0,IF(T89&gt;0,3,IF(O89&gt;0,2,1))))</x:f>
      </x:c>
      <x:c r="Z89" s="1"/>
      <x:c r="AA89" s="1"/>
      <x:c r="AB89" s="1"/>
      <x:c r="AC89" s="1"/>
      <x:c r="AD89" s="1"/>
      <x:c r="AE89" s="1"/>
    </x:row>
    <x:row r="90" ht="18" customHeight="1">
      <x:c r="A90" s="38"/>
      <x:c r="B90" s="38"/>
      <x:c r="C90" s="38"/>
      <x:c r="D90" s="38"/>
      <x:c r="E90" s="263" t="str">
        <x:f>IF(B90="","",J90)</x:f>
      </x:c>
      <x:c r="F90" s="144"/>
      <x:c r="G90" s="144"/>
      <x:c r="H90" s="138"/>
      <x:c r="I90" s="38"/>
      <x:c r="J90" s="263" t="str">
        <x:f>IF(B90="","",MAX(0,O90+F90-G90))</x:f>
      </x:c>
      <x:c r="K90" s="144"/>
      <x:c r="L90" s="144"/>
      <x:c r="M90" s="138"/>
      <x:c r="N90" s="38"/>
      <x:c r="O90" s="263" t="str">
        <x:f>IF(B90="","",MAX(0,T90+K90-L90))</x:f>
      </x:c>
      <x:c r="P90" s="144"/>
      <x:c r="Q90" s="144"/>
      <x:c r="R90" s="138"/>
      <x:c r="S90" s="38"/>
      <x:c r="T90" s="263" t="str">
        <x:f>IF(B90="","",MAX(0,P90-Q90))</x:f>
      </x:c>
      <x:c r="U90" s="144"/>
      <x:c r="V90" s="144"/>
      <x:c r="W90" s="138"/>
      <x:c r="X90" s="263" t="str">
        <x:f>IF(B90="","",MAX(0,U90-V90))</x:f>
      </x:c>
      <x:c r="Y90" s="257" t="str">
        <x:f>IF(B90="","",IF(E90&lt;=0,0,IF(T90&gt;0,3,IF(O90&gt;0,2,1))))</x:f>
      </x:c>
      <x:c r="Z90" s="1"/>
      <x:c r="AA90" s="1"/>
      <x:c r="AB90" s="1"/>
      <x:c r="AC90" s="1"/>
      <x:c r="AD90" s="1"/>
      <x:c r="AE90" s="1"/>
    </x:row>
    <x:row r="91" ht="18" customHeight="1">
      <x:c r="A91" s="38"/>
      <x:c r="B91" s="38"/>
      <x:c r="C91" s="38"/>
      <x:c r="D91" s="38"/>
      <x:c r="E91" s="263" t="str">
        <x:f>IF(B91="","",J91)</x:f>
      </x:c>
      <x:c r="F91" s="144"/>
      <x:c r="G91" s="144"/>
      <x:c r="H91" s="138"/>
      <x:c r="I91" s="38"/>
      <x:c r="J91" s="263" t="str">
        <x:f>IF(B91="","",MAX(0,O91+F91-G91))</x:f>
      </x:c>
      <x:c r="K91" s="144"/>
      <x:c r="L91" s="144"/>
      <x:c r="M91" s="138"/>
      <x:c r="N91" s="38"/>
      <x:c r="O91" s="263" t="str">
        <x:f>IF(B91="","",MAX(0,T91+K91-L91))</x:f>
      </x:c>
      <x:c r="P91" s="144"/>
      <x:c r="Q91" s="144"/>
      <x:c r="R91" s="138"/>
      <x:c r="S91" s="38"/>
      <x:c r="T91" s="263" t="str">
        <x:f>IF(B91="","",MAX(0,P91-Q91))</x:f>
      </x:c>
      <x:c r="U91" s="144"/>
      <x:c r="V91" s="144"/>
      <x:c r="W91" s="138"/>
      <x:c r="X91" s="263" t="str">
        <x:f>IF(B91="","",MAX(0,U91-V91))</x:f>
      </x:c>
      <x:c r="Y91" s="257" t="str">
        <x:f>IF(B91="","",IF(E91&lt;=0,0,IF(T91&gt;0,3,IF(O91&gt;0,2,1))))</x:f>
      </x:c>
      <x:c r="Z91" s="1"/>
      <x:c r="AA91" s="1"/>
      <x:c r="AB91" s="1"/>
      <x:c r="AC91" s="1"/>
      <x:c r="AD91" s="1"/>
      <x:c r="AE91" s="1"/>
    </x:row>
    <x:row r="92" ht="18" customHeight="1">
      <x:c r="A92" s="38"/>
      <x:c r="B92" s="38"/>
      <x:c r="C92" s="38"/>
      <x:c r="D92" s="38"/>
      <x:c r="E92" s="263" t="str">
        <x:f>IF(B92="","",J92)</x:f>
      </x:c>
      <x:c r="F92" s="144"/>
      <x:c r="G92" s="144"/>
      <x:c r="H92" s="138"/>
      <x:c r="I92" s="38"/>
      <x:c r="J92" s="263" t="str">
        <x:f>IF(B92="","",MAX(0,O92+F92-G92))</x:f>
      </x:c>
      <x:c r="K92" s="144"/>
      <x:c r="L92" s="144"/>
      <x:c r="M92" s="138"/>
      <x:c r="N92" s="38"/>
      <x:c r="O92" s="263" t="str">
        <x:f>IF(B92="","",MAX(0,T92+K92-L92))</x:f>
      </x:c>
      <x:c r="P92" s="144"/>
      <x:c r="Q92" s="144"/>
      <x:c r="R92" s="138"/>
      <x:c r="S92" s="38"/>
      <x:c r="T92" s="263" t="str">
        <x:f>IF(B92="","",MAX(0,P92-Q92))</x:f>
      </x:c>
      <x:c r="U92" s="144"/>
      <x:c r="V92" s="144"/>
      <x:c r="W92" s="138"/>
      <x:c r="X92" s="263" t="str">
        <x:f>IF(B92="","",MAX(0,U92-V92))</x:f>
      </x:c>
      <x:c r="Y92" s="257" t="str">
        <x:f>IF(B92="","",IF(E92&lt;=0,0,IF(T92&gt;0,3,IF(O92&gt;0,2,1))))</x:f>
      </x:c>
      <x:c r="Z92" s="1"/>
      <x:c r="AA92" s="1"/>
      <x:c r="AB92" s="1"/>
      <x:c r="AC92" s="1"/>
      <x:c r="AD92" s="1"/>
      <x:c r="AE92" s="1"/>
    </x:row>
    <x:row r="93" ht="18" customHeight="1">
      <x:c r="A93" s="38"/>
      <x:c r="B93" s="38"/>
      <x:c r="C93" s="38"/>
      <x:c r="D93" s="38"/>
      <x:c r="E93" s="263" t="str">
        <x:f>IF(B93="","",J93)</x:f>
      </x:c>
      <x:c r="F93" s="144"/>
      <x:c r="G93" s="144"/>
      <x:c r="H93" s="138"/>
      <x:c r="I93" s="38"/>
      <x:c r="J93" s="263" t="str">
        <x:f>IF(B93="","",MAX(0,O93+F93-G93))</x:f>
      </x:c>
      <x:c r="K93" s="144"/>
      <x:c r="L93" s="144"/>
      <x:c r="M93" s="138"/>
      <x:c r="N93" s="38"/>
      <x:c r="O93" s="263" t="str">
        <x:f>IF(B93="","",MAX(0,T93+K93-L93))</x:f>
      </x:c>
      <x:c r="P93" s="144"/>
      <x:c r="Q93" s="144"/>
      <x:c r="R93" s="138"/>
      <x:c r="S93" s="38"/>
      <x:c r="T93" s="263" t="str">
        <x:f>IF(B93="","",MAX(0,P93-Q93))</x:f>
      </x:c>
      <x:c r="U93" s="144"/>
      <x:c r="V93" s="144"/>
      <x:c r="W93" s="138"/>
      <x:c r="X93" s="263" t="str">
        <x:f>IF(B93="","",MAX(0,U93-V93))</x:f>
      </x:c>
      <x:c r="Y93" s="257" t="str">
        <x:f>IF(B93="","",IF(E93&lt;=0,0,IF(T93&gt;0,3,IF(O93&gt;0,2,1))))</x:f>
      </x:c>
      <x:c r="Z93" s="1"/>
      <x:c r="AA93" s="1"/>
      <x:c r="AB93" s="1"/>
      <x:c r="AC93" s="1"/>
      <x:c r="AD93" s="1"/>
      <x:c r="AE93" s="1"/>
    </x:row>
    <x:row r="94" ht="18" customHeight="1">
      <x:c r="A94" s="38"/>
      <x:c r="B94" s="38"/>
      <x:c r="C94" s="38"/>
      <x:c r="D94" s="38"/>
      <x:c r="E94" s="263" t="str">
        <x:f>IF(B94="","",J94)</x:f>
      </x:c>
      <x:c r="F94" s="144"/>
      <x:c r="G94" s="144"/>
      <x:c r="H94" s="138"/>
      <x:c r="I94" s="38"/>
      <x:c r="J94" s="263" t="str">
        <x:f>IF(B94="","",MAX(0,O94+F94-G94))</x:f>
      </x:c>
      <x:c r="K94" s="144"/>
      <x:c r="L94" s="144"/>
      <x:c r="M94" s="138"/>
      <x:c r="N94" s="38"/>
      <x:c r="O94" s="263" t="str">
        <x:f>IF(B94="","",MAX(0,T94+K94-L94))</x:f>
      </x:c>
      <x:c r="P94" s="144"/>
      <x:c r="Q94" s="144"/>
      <x:c r="R94" s="138"/>
      <x:c r="S94" s="38"/>
      <x:c r="T94" s="263" t="str">
        <x:f>IF(B94="","",MAX(0,P94-Q94))</x:f>
      </x:c>
      <x:c r="U94" s="144"/>
      <x:c r="V94" s="144"/>
      <x:c r="W94" s="138"/>
      <x:c r="X94" s="263" t="str">
        <x:f>IF(B94="","",MAX(0,U94-V94))</x:f>
      </x:c>
      <x:c r="Y94" s="257" t="str">
        <x:f>IF(B94="","",IF(E94&lt;=0,0,IF(T94&gt;0,3,IF(O94&gt;0,2,1))))</x:f>
      </x:c>
      <x:c r="Z94" s="1"/>
      <x:c r="AA94" s="1"/>
      <x:c r="AB94" s="1"/>
      <x:c r="AC94" s="1"/>
      <x:c r="AD94" s="1"/>
      <x:c r="AE94" s="1"/>
    </x:row>
    <x:row r="95" ht="18" customHeight="1">
      <x:c r="A95" s="38"/>
      <x:c r="B95" s="38"/>
      <x:c r="C95" s="38"/>
      <x:c r="D95" s="38"/>
      <x:c r="E95" s="263" t="str">
        <x:f>IF(B95="","",J95)</x:f>
      </x:c>
      <x:c r="F95" s="144"/>
      <x:c r="G95" s="144"/>
      <x:c r="H95" s="138"/>
      <x:c r="I95" s="38"/>
      <x:c r="J95" s="263" t="str">
        <x:f>IF(B95="","",MAX(0,O95+F95-G95))</x:f>
      </x:c>
      <x:c r="K95" s="144"/>
      <x:c r="L95" s="144"/>
      <x:c r="M95" s="138"/>
      <x:c r="N95" s="38"/>
      <x:c r="O95" s="263" t="str">
        <x:f>IF(B95="","",MAX(0,T95+K95-L95))</x:f>
      </x:c>
      <x:c r="P95" s="144"/>
      <x:c r="Q95" s="144"/>
      <x:c r="R95" s="138"/>
      <x:c r="S95" s="38"/>
      <x:c r="T95" s="263" t="str">
        <x:f>IF(B95="","",MAX(0,P95-Q95))</x:f>
      </x:c>
      <x:c r="U95" s="144"/>
      <x:c r="V95" s="144"/>
      <x:c r="W95" s="138"/>
      <x:c r="X95" s="263" t="str">
        <x:f>IF(B95="","",MAX(0,U95-V95))</x:f>
      </x:c>
      <x:c r="Y95" s="257" t="str">
        <x:f>IF(B95="","",IF(E95&lt;=0,0,IF(T95&gt;0,3,IF(O95&gt;0,2,1))))</x:f>
      </x:c>
      <x:c r="Z95" s="1"/>
      <x:c r="AA95" s="1"/>
      <x:c r="AB95" s="1"/>
      <x:c r="AC95" s="1"/>
      <x:c r="AD95" s="1"/>
      <x:c r="AE95" s="1"/>
    </x:row>
    <x:row r="96" ht="18" customHeight="1">
      <x:c r="A96" s="38"/>
      <x:c r="B96" s="38"/>
      <x:c r="C96" s="38"/>
      <x:c r="D96" s="38"/>
      <x:c r="E96" s="263" t="str">
        <x:f>IF(B96="","",J96)</x:f>
      </x:c>
      <x:c r="F96" s="144"/>
      <x:c r="G96" s="144"/>
      <x:c r="H96" s="138"/>
      <x:c r="I96" s="38"/>
      <x:c r="J96" s="263" t="str">
        <x:f>IF(B96="","",MAX(0,O96+F96-G96))</x:f>
      </x:c>
      <x:c r="K96" s="144"/>
      <x:c r="L96" s="144"/>
      <x:c r="M96" s="138"/>
      <x:c r="N96" s="38"/>
      <x:c r="O96" s="263" t="str">
        <x:f>IF(B96="","",MAX(0,T96+K96-L96))</x:f>
      </x:c>
      <x:c r="P96" s="144"/>
      <x:c r="Q96" s="144"/>
      <x:c r="R96" s="138"/>
      <x:c r="S96" s="38"/>
      <x:c r="T96" s="263" t="str">
        <x:f>IF(B96="","",MAX(0,P96-Q96))</x:f>
      </x:c>
      <x:c r="U96" s="144"/>
      <x:c r="V96" s="144"/>
      <x:c r="W96" s="138"/>
      <x:c r="X96" s="263" t="str">
        <x:f>IF(B96="","",MAX(0,U96-V96))</x:f>
      </x:c>
      <x:c r="Y96" s="257" t="str">
        <x:f>IF(B96="","",IF(E96&lt;=0,0,IF(T96&gt;0,3,IF(O96&gt;0,2,1))))</x:f>
      </x:c>
      <x:c r="Z96" s="1"/>
      <x:c r="AA96" s="1"/>
      <x:c r="AB96" s="1"/>
      <x:c r="AC96" s="1"/>
      <x:c r="AD96" s="1"/>
      <x:c r="AE96" s="1"/>
    </x:row>
    <x:row r="97" ht="18" customHeight="1">
      <x:c r="A97" s="38"/>
      <x:c r="B97" s="38"/>
      <x:c r="C97" s="38"/>
      <x:c r="D97" s="38"/>
      <x:c r="E97" s="263" t="str">
        <x:f>IF(B97="","",J97)</x:f>
      </x:c>
      <x:c r="F97" s="144"/>
      <x:c r="G97" s="144"/>
      <x:c r="H97" s="138"/>
      <x:c r="I97" s="38"/>
      <x:c r="J97" s="263" t="str">
        <x:f>IF(B97="","",MAX(0,O97+F97-G97))</x:f>
      </x:c>
      <x:c r="K97" s="144"/>
      <x:c r="L97" s="144"/>
      <x:c r="M97" s="138"/>
      <x:c r="N97" s="38"/>
      <x:c r="O97" s="263" t="str">
        <x:f>IF(B97="","",MAX(0,T97+K97-L97))</x:f>
      </x:c>
      <x:c r="P97" s="144"/>
      <x:c r="Q97" s="144"/>
      <x:c r="R97" s="138"/>
      <x:c r="S97" s="38"/>
      <x:c r="T97" s="263" t="str">
        <x:f>IF(B97="","",MAX(0,P97-Q97))</x:f>
      </x:c>
      <x:c r="U97" s="144"/>
      <x:c r="V97" s="144"/>
      <x:c r="W97" s="138"/>
      <x:c r="X97" s="263" t="str">
        <x:f>IF(B97="","",MAX(0,U97-V97))</x:f>
      </x:c>
      <x:c r="Y97" s="257" t="str">
        <x:f>IF(B97="","",IF(E97&lt;=0,0,IF(T97&gt;0,3,IF(O97&gt;0,2,1))))</x:f>
      </x:c>
      <x:c r="Z97" s="1"/>
      <x:c r="AA97" s="1"/>
      <x:c r="AB97" s="1"/>
      <x:c r="AC97" s="1"/>
      <x:c r="AD97" s="1"/>
      <x:c r="AE97" s="1"/>
    </x:row>
    <x:row r="98" ht="18" customHeight="1">
      <x:c r="A98" s="38"/>
      <x:c r="B98" s="38"/>
      <x:c r="C98" s="38"/>
      <x:c r="D98" s="38"/>
      <x:c r="E98" s="263" t="str">
        <x:f>IF(B98="","",J98)</x:f>
      </x:c>
      <x:c r="F98" s="144"/>
      <x:c r="G98" s="144"/>
      <x:c r="H98" s="138"/>
      <x:c r="I98" s="38"/>
      <x:c r="J98" s="263" t="str">
        <x:f>IF(B98="","",MAX(0,O98+F98-G98))</x:f>
      </x:c>
      <x:c r="K98" s="144"/>
      <x:c r="L98" s="144"/>
      <x:c r="M98" s="138"/>
      <x:c r="N98" s="38"/>
      <x:c r="O98" s="263" t="str">
        <x:f>IF(B98="","",MAX(0,T98+K98-L98))</x:f>
      </x:c>
      <x:c r="P98" s="144"/>
      <x:c r="Q98" s="144"/>
      <x:c r="R98" s="138"/>
      <x:c r="S98" s="38"/>
      <x:c r="T98" s="263" t="str">
        <x:f>IF(B98="","",MAX(0,P98-Q98))</x:f>
      </x:c>
      <x:c r="U98" s="144"/>
      <x:c r="V98" s="144"/>
      <x:c r="W98" s="138"/>
      <x:c r="X98" s="263" t="str">
        <x:f>IF(B98="","",MAX(0,U98-V98))</x:f>
      </x:c>
      <x:c r="Y98" s="257" t="str">
        <x:f>IF(B98="","",IF(E98&lt;=0,0,IF(T98&gt;0,3,IF(O98&gt;0,2,1))))</x:f>
      </x:c>
      <x:c r="Z98" s="1"/>
      <x:c r="AA98" s="1"/>
      <x:c r="AB98" s="1"/>
      <x:c r="AC98" s="1"/>
      <x:c r="AD98" s="1"/>
      <x:c r="AE98" s="1"/>
    </x:row>
    <x:row r="99" ht="18" customHeight="1">
      <x:c r="A99" s="38"/>
      <x:c r="B99" s="38"/>
      <x:c r="C99" s="38"/>
      <x:c r="D99" s="38"/>
      <x:c r="E99" s="263" t="str">
        <x:f>IF(B99="","",J99)</x:f>
      </x:c>
      <x:c r="F99" s="144"/>
      <x:c r="G99" s="144"/>
      <x:c r="H99" s="138"/>
      <x:c r="I99" s="38"/>
      <x:c r="J99" s="263" t="str">
        <x:f>IF(B99="","",MAX(0,O99+F99-G99))</x:f>
      </x:c>
      <x:c r="K99" s="144"/>
      <x:c r="L99" s="144"/>
      <x:c r="M99" s="138"/>
      <x:c r="N99" s="38"/>
      <x:c r="O99" s="263" t="str">
        <x:f>IF(B99="","",MAX(0,T99+K99-L99))</x:f>
      </x:c>
      <x:c r="P99" s="144"/>
      <x:c r="Q99" s="144"/>
      <x:c r="R99" s="138"/>
      <x:c r="S99" s="38"/>
      <x:c r="T99" s="263" t="str">
        <x:f>IF(B99="","",MAX(0,P99-Q99))</x:f>
      </x:c>
      <x:c r="U99" s="144"/>
      <x:c r="V99" s="144"/>
      <x:c r="W99" s="138"/>
      <x:c r="X99" s="263" t="str">
        <x:f>IF(B99="","",MAX(0,U99-V99))</x:f>
      </x:c>
      <x:c r="Y99" s="257" t="str">
        <x:f>IF(B99="","",IF(E99&lt;=0,0,IF(T99&gt;0,3,IF(O99&gt;0,2,1))))</x:f>
      </x:c>
      <x:c r="Z99" s="1"/>
      <x:c r="AA99" s="1"/>
      <x:c r="AB99" s="1"/>
      <x:c r="AC99" s="1"/>
      <x:c r="AD99" s="1"/>
      <x:c r="AE99" s="1"/>
    </x:row>
    <x:row r="100" ht="18" customHeight="1">
      <x:c r="A100" s="38"/>
      <x:c r="B100" s="38"/>
      <x:c r="C100" s="38"/>
      <x:c r="D100" s="38"/>
      <x:c r="E100" s="263" t="str">
        <x:f>IF(B100="","",J100)</x:f>
      </x:c>
      <x:c r="F100" s="144"/>
      <x:c r="G100" s="144"/>
      <x:c r="H100" s="138"/>
      <x:c r="I100" s="38"/>
      <x:c r="J100" s="263" t="str">
        <x:f>IF(B100="","",MAX(0,O100+F100-G100))</x:f>
      </x:c>
      <x:c r="K100" s="144"/>
      <x:c r="L100" s="144"/>
      <x:c r="M100" s="138"/>
      <x:c r="N100" s="38"/>
      <x:c r="O100" s="263" t="str">
        <x:f>IF(B100="","",MAX(0,T100+K100-L100))</x:f>
      </x:c>
      <x:c r="P100" s="144"/>
      <x:c r="Q100" s="144"/>
      <x:c r="R100" s="138"/>
      <x:c r="S100" s="38"/>
      <x:c r="T100" s="263" t="str">
        <x:f>IF(B100="","",MAX(0,P100-Q100))</x:f>
      </x:c>
      <x:c r="U100" s="144"/>
      <x:c r="V100" s="144"/>
      <x:c r="W100" s="138"/>
      <x:c r="X100" s="263" t="str">
        <x:f>IF(B100="","",MAX(0,U100-V100))</x:f>
      </x:c>
      <x:c r="Y100" s="257" t="str">
        <x:f>IF(B100="","",IF(E100&lt;=0,0,IF(T100&gt;0,3,IF(O100&gt;0,2,1))))</x:f>
      </x:c>
      <x:c r="Z100" s="1"/>
      <x:c r="AA100" s="1"/>
      <x:c r="AB100" s="1"/>
      <x:c r="AC100" s="1"/>
      <x:c r="AD100" s="1"/>
      <x:c r="AE100" s="1"/>
    </x:row>
    <x:row r="101" ht="18" customHeight="1">
      <x:c r="A101" s="38"/>
      <x:c r="B101" s="38"/>
      <x:c r="C101" s="38"/>
      <x:c r="D101" s="38"/>
      <x:c r="E101" s="263" t="str">
        <x:f>IF(B101="","",J101)</x:f>
      </x:c>
      <x:c r="F101" s="144"/>
      <x:c r="G101" s="144"/>
      <x:c r="H101" s="138"/>
      <x:c r="I101" s="38"/>
      <x:c r="J101" s="263" t="str">
        <x:f>IF(B101="","",MAX(0,O101+F101-G101))</x:f>
      </x:c>
      <x:c r="K101" s="144"/>
      <x:c r="L101" s="144"/>
      <x:c r="M101" s="138"/>
      <x:c r="N101" s="38"/>
      <x:c r="O101" s="263" t="str">
        <x:f>IF(B101="","",MAX(0,T101+K101-L101))</x:f>
      </x:c>
      <x:c r="P101" s="144"/>
      <x:c r="Q101" s="144"/>
      <x:c r="R101" s="138"/>
      <x:c r="S101" s="38"/>
      <x:c r="T101" s="263" t="str">
        <x:f>IF(B101="","",MAX(0,P101-Q101))</x:f>
      </x:c>
      <x:c r="U101" s="144"/>
      <x:c r="V101" s="144"/>
      <x:c r="W101" s="138"/>
      <x:c r="X101" s="263" t="str">
        <x:f>IF(B101="","",MAX(0,U101-V101))</x:f>
      </x:c>
      <x:c r="Y101" s="257" t="str">
        <x:f>IF(B101="","",IF(E101&lt;=0,0,IF(T101&gt;0,3,IF(O101&gt;0,2,1))))</x:f>
      </x:c>
      <x:c r="Z101" s="1"/>
      <x:c r="AA101" s="1"/>
      <x:c r="AB101" s="1"/>
      <x:c r="AC101" s="1"/>
      <x:c r="AD101" s="1"/>
      <x:c r="AE101" s="1"/>
    </x:row>
    <x:row r="102" ht="18" customHeight="1">
      <x:c r="A102" s="38"/>
      <x:c r="B102" s="38"/>
      <x:c r="C102" s="38"/>
      <x:c r="D102" s="38"/>
      <x:c r="E102" s="263" t="str">
        <x:f>IF(B102="","",J102)</x:f>
      </x:c>
      <x:c r="F102" s="144"/>
      <x:c r="G102" s="144"/>
      <x:c r="H102" s="138"/>
      <x:c r="I102" s="38"/>
      <x:c r="J102" s="263" t="str">
        <x:f>IF(B102="","",MAX(0,O102+F102-G102))</x:f>
      </x:c>
      <x:c r="K102" s="144"/>
      <x:c r="L102" s="144"/>
      <x:c r="M102" s="138"/>
      <x:c r="N102" s="38"/>
      <x:c r="O102" s="263" t="str">
        <x:f>IF(B102="","",MAX(0,T102+K102-L102))</x:f>
      </x:c>
      <x:c r="P102" s="144"/>
      <x:c r="Q102" s="144"/>
      <x:c r="R102" s="138"/>
      <x:c r="S102" s="38"/>
      <x:c r="T102" s="263" t="str">
        <x:f>IF(B102="","",MAX(0,P102-Q102))</x:f>
      </x:c>
      <x:c r="U102" s="144"/>
      <x:c r="V102" s="144"/>
      <x:c r="W102" s="138"/>
      <x:c r="X102" s="263" t="str">
        <x:f>IF(B102="","",MAX(0,U102-V102))</x:f>
      </x:c>
      <x:c r="Y102" s="257" t="str">
        <x:f>IF(B102="","",IF(E102&lt;=0,0,IF(T102&gt;0,3,IF(O102&gt;0,2,1))))</x:f>
      </x:c>
      <x:c r="Z102" s="1"/>
      <x:c r="AA102" s="1"/>
      <x:c r="AB102" s="1"/>
      <x:c r="AC102" s="1"/>
      <x:c r="AD102" s="1"/>
      <x:c r="AE102" s="1"/>
    </x:row>
    <x:row r="103" ht="18" customHeight="1">
      <x:c r="A103" s="38"/>
      <x:c r="B103" s="38"/>
      <x:c r="C103" s="38"/>
      <x:c r="D103" s="38"/>
      <x:c r="E103" s="263" t="str">
        <x:f>IF(B103="","",J103)</x:f>
      </x:c>
      <x:c r="F103" s="144"/>
      <x:c r="G103" s="144"/>
      <x:c r="H103" s="138"/>
      <x:c r="I103" s="38"/>
      <x:c r="J103" s="263" t="str">
        <x:f>IF(B103="","",MAX(0,O103+F103-G103))</x:f>
      </x:c>
      <x:c r="K103" s="144"/>
      <x:c r="L103" s="144"/>
      <x:c r="M103" s="138"/>
      <x:c r="N103" s="38"/>
      <x:c r="O103" s="263" t="str">
        <x:f>IF(B103="","",MAX(0,T103+K103-L103))</x:f>
      </x:c>
      <x:c r="P103" s="144"/>
      <x:c r="Q103" s="144"/>
      <x:c r="R103" s="138"/>
      <x:c r="S103" s="38"/>
      <x:c r="T103" s="263" t="str">
        <x:f>IF(B103="","",MAX(0,P103-Q103))</x:f>
      </x:c>
      <x:c r="U103" s="144"/>
      <x:c r="V103" s="144"/>
      <x:c r="W103" s="138"/>
      <x:c r="X103" s="263" t="str">
        <x:f>IF(B103="","",MAX(0,U103-V103))</x:f>
      </x:c>
      <x:c r="Y103" s="257" t="str">
        <x:f>IF(B103="","",IF(E103&lt;=0,0,IF(T103&gt;0,3,IF(O103&gt;0,2,1))))</x:f>
      </x:c>
      <x:c r="Z103" s="1"/>
      <x:c r="AA103" s="1"/>
      <x:c r="AB103" s="1"/>
      <x:c r="AC103" s="1"/>
      <x:c r="AD103" s="1"/>
      <x:c r="AE103" s="1"/>
    </x:row>
    <x:row r="104" ht="18" customHeight="1">
      <x:c r="A104" s="38"/>
      <x:c r="B104" s="38"/>
      <x:c r="C104" s="38"/>
      <x:c r="D104" s="38"/>
      <x:c r="E104" s="263" t="str">
        <x:f>IF(B104="","",J104)</x:f>
      </x:c>
      <x:c r="F104" s="144"/>
      <x:c r="G104" s="144"/>
      <x:c r="H104" s="138"/>
      <x:c r="I104" s="38"/>
      <x:c r="J104" s="263" t="str">
        <x:f>IF(B104="","",MAX(0,O104+F104-G104))</x:f>
      </x:c>
      <x:c r="K104" s="144"/>
      <x:c r="L104" s="144"/>
      <x:c r="M104" s="138"/>
      <x:c r="N104" s="38"/>
      <x:c r="O104" s="263" t="str">
        <x:f>IF(B104="","",MAX(0,T104+K104-L104))</x:f>
      </x:c>
      <x:c r="P104" s="144"/>
      <x:c r="Q104" s="144"/>
      <x:c r="R104" s="138"/>
      <x:c r="S104" s="38"/>
      <x:c r="T104" s="263" t="str">
        <x:f>IF(B104="","",MAX(0,P104-Q104))</x:f>
      </x:c>
      <x:c r="U104" s="144"/>
      <x:c r="V104" s="144"/>
      <x:c r="W104" s="138"/>
      <x:c r="X104" s="263" t="str">
        <x:f>IF(B104="","",MAX(0,U104-V104))</x:f>
      </x:c>
      <x:c r="Y104" s="257" t="str">
        <x:f>IF(B104="","",IF(E104&lt;=0,0,IF(T104&gt;0,3,IF(O104&gt;0,2,1))))</x:f>
      </x:c>
      <x:c r="Z104" s="1"/>
      <x:c r="AA104" s="1"/>
      <x:c r="AB104" s="1"/>
      <x:c r="AC104" s="1"/>
      <x:c r="AD104" s="1"/>
      <x:c r="AE104" s="1"/>
    </x:row>
    <x:row r="105" ht="18" customHeight="1">
      <x:c r="A105" s="38"/>
      <x:c r="B105" s="38"/>
      <x:c r="C105" s="38"/>
      <x:c r="D105" s="38"/>
      <x:c r="E105" s="263" t="str">
        <x:f>IF(B105="","",J105)</x:f>
      </x:c>
      <x:c r="F105" s="144"/>
      <x:c r="G105" s="144"/>
      <x:c r="H105" s="138"/>
      <x:c r="I105" s="38"/>
      <x:c r="J105" s="263" t="str">
        <x:f>IF(B105="","",MAX(0,O105+F105-G105))</x:f>
      </x:c>
      <x:c r="K105" s="144"/>
      <x:c r="L105" s="144"/>
      <x:c r="M105" s="138"/>
      <x:c r="N105" s="38"/>
      <x:c r="O105" s="263" t="str">
        <x:f>IF(B105="","",MAX(0,T105+K105-L105))</x:f>
      </x:c>
      <x:c r="P105" s="144"/>
      <x:c r="Q105" s="144"/>
      <x:c r="R105" s="138"/>
      <x:c r="S105" s="38"/>
      <x:c r="T105" s="263" t="str">
        <x:f>IF(B105="","",MAX(0,P105-Q105))</x:f>
      </x:c>
      <x:c r="U105" s="144"/>
      <x:c r="V105" s="144"/>
      <x:c r="W105" s="138"/>
      <x:c r="X105" s="263" t="str">
        <x:f>IF(B105="","",MAX(0,U105-V105))</x:f>
      </x:c>
      <x:c r="Y105" s="257" t="str">
        <x:f>IF(B105="","",IF(E105&lt;=0,0,IF(T105&gt;0,3,IF(O105&gt;0,2,1))))</x:f>
      </x:c>
      <x:c r="Z105" s="1"/>
      <x:c r="AA105" s="1"/>
      <x:c r="AB105" s="1"/>
      <x:c r="AC105" s="1"/>
      <x:c r="AD105" s="1"/>
      <x:c r="AE105" s="1"/>
    </x:row>
    <x:row r="106" ht="18" customHeight="1">
      <x:c r="A106" s="38"/>
      <x:c r="B106" s="38"/>
      <x:c r="C106" s="38"/>
      <x:c r="D106" s="38"/>
      <x:c r="E106" s="263" t="str">
        <x:f>IF(B106="","",J106)</x:f>
      </x:c>
      <x:c r="F106" s="144"/>
      <x:c r="G106" s="144"/>
      <x:c r="H106" s="138"/>
      <x:c r="I106" s="38"/>
      <x:c r="J106" s="263" t="str">
        <x:f>IF(B106="","",MAX(0,O106+F106-G106))</x:f>
      </x:c>
      <x:c r="K106" s="144"/>
      <x:c r="L106" s="144"/>
      <x:c r="M106" s="138"/>
      <x:c r="N106" s="38"/>
      <x:c r="O106" s="263" t="str">
        <x:f>IF(B106="","",MAX(0,T106+K106-L106))</x:f>
      </x:c>
      <x:c r="P106" s="144"/>
      <x:c r="Q106" s="144"/>
      <x:c r="R106" s="138"/>
      <x:c r="S106" s="38"/>
      <x:c r="T106" s="263" t="str">
        <x:f>IF(B106="","",MAX(0,P106-Q106))</x:f>
      </x:c>
      <x:c r="U106" s="144"/>
      <x:c r="V106" s="144"/>
      <x:c r="W106" s="138"/>
      <x:c r="X106" s="263" t="str">
        <x:f>IF(B106="","",MAX(0,U106-V106))</x:f>
      </x:c>
      <x:c r="Y106" s="257" t="str">
        <x:f>IF(B106="","",IF(E106&lt;=0,0,IF(T106&gt;0,3,IF(O106&gt;0,2,1))))</x:f>
      </x:c>
      <x:c r="Z106" s="1"/>
      <x:c r="AA106" s="1"/>
      <x:c r="AB106" s="1"/>
      <x:c r="AC106" s="1"/>
      <x:c r="AD106" s="1"/>
      <x:c r="AE106" s="1"/>
    </x:row>
    <x:row r="107" ht="18" customHeight="1">
      <x:c r="A107" s="38"/>
      <x:c r="B107" s="38"/>
      <x:c r="C107" s="38"/>
      <x:c r="D107" s="38"/>
      <x:c r="E107" s="263" t="str">
        <x:f>IF(B107="","",J107)</x:f>
      </x:c>
      <x:c r="F107" s="144"/>
      <x:c r="G107" s="144"/>
      <x:c r="H107" s="138"/>
      <x:c r="I107" s="38"/>
      <x:c r="J107" s="263" t="str">
        <x:f>IF(B107="","",MAX(0,O107+F107-G107))</x:f>
      </x:c>
      <x:c r="K107" s="144"/>
      <x:c r="L107" s="144"/>
      <x:c r="M107" s="138"/>
      <x:c r="N107" s="38"/>
      <x:c r="O107" s="263" t="str">
        <x:f>IF(B107="","",MAX(0,T107+K107-L107))</x:f>
      </x:c>
      <x:c r="P107" s="144"/>
      <x:c r="Q107" s="144"/>
      <x:c r="R107" s="138"/>
      <x:c r="S107" s="38"/>
      <x:c r="T107" s="263" t="str">
        <x:f>IF(B107="","",MAX(0,P107-Q107))</x:f>
      </x:c>
      <x:c r="U107" s="144"/>
      <x:c r="V107" s="144"/>
      <x:c r="W107" s="138"/>
      <x:c r="X107" s="263" t="str">
        <x:f>IF(B107="","",MAX(0,U107-V107))</x:f>
      </x:c>
      <x:c r="Y107" s="257" t="str">
        <x:f>IF(B107="","",IF(E107&lt;=0,0,IF(T107&gt;0,3,IF(O107&gt;0,2,1))))</x:f>
      </x:c>
      <x:c r="Z107" s="1"/>
      <x:c r="AA107" s="1"/>
      <x:c r="AB107" s="1"/>
      <x:c r="AC107" s="1"/>
      <x:c r="AD107" s="1"/>
      <x:c r="AE107" s="1"/>
    </x:row>
    <x:row r="108" ht="18" customHeight="1">
      <x:c r="A108" s="38"/>
      <x:c r="B108" s="38"/>
      <x:c r="C108" s="38"/>
      <x:c r="D108" s="38"/>
      <x:c r="E108" s="263" t="str">
        <x:f>IF(B108="","",J108)</x:f>
      </x:c>
      <x:c r="F108" s="144"/>
      <x:c r="G108" s="144"/>
      <x:c r="H108" s="138"/>
      <x:c r="I108" s="38"/>
      <x:c r="J108" s="263" t="str">
        <x:f>IF(B108="","",MAX(0,O108+F108-G108))</x:f>
      </x:c>
      <x:c r="K108" s="144"/>
      <x:c r="L108" s="144"/>
      <x:c r="M108" s="138"/>
      <x:c r="N108" s="38"/>
      <x:c r="O108" s="263" t="str">
        <x:f>IF(B108="","",MAX(0,T108+K108-L108))</x:f>
      </x:c>
      <x:c r="P108" s="144"/>
      <x:c r="Q108" s="144"/>
      <x:c r="R108" s="138"/>
      <x:c r="S108" s="38"/>
      <x:c r="T108" s="263" t="str">
        <x:f>IF(B108="","",MAX(0,P108-Q108))</x:f>
      </x:c>
      <x:c r="U108" s="144"/>
      <x:c r="V108" s="144"/>
      <x:c r="W108" s="138"/>
      <x:c r="X108" s="263" t="str">
        <x:f>IF(B108="","",MAX(0,U108-V108))</x:f>
      </x:c>
      <x:c r="Y108" s="257" t="str">
        <x:f>IF(B108="","",IF(E108&lt;=0,0,IF(T108&gt;0,3,IF(O108&gt;0,2,1))))</x:f>
      </x:c>
      <x:c r="Z108" s="1"/>
      <x:c r="AA108" s="1"/>
      <x:c r="AB108" s="1"/>
      <x:c r="AC108" s="1"/>
      <x:c r="AD108" s="1"/>
      <x:c r="AE108" s="1"/>
    </x:row>
    <x:row r="109" ht="18" customHeight="1">
      <x:c r="A109" s="38"/>
      <x:c r="B109" s="38"/>
      <x:c r="C109" s="38"/>
      <x:c r="D109" s="38"/>
      <x:c r="E109" s="263" t="str">
        <x:f>IF(B109="","",J109)</x:f>
      </x:c>
      <x:c r="F109" s="144"/>
      <x:c r="G109" s="144"/>
      <x:c r="H109" s="138"/>
      <x:c r="I109" s="38"/>
      <x:c r="J109" s="263" t="str">
        <x:f>IF(B109="","",MAX(0,O109+F109-G109))</x:f>
      </x:c>
      <x:c r="K109" s="144"/>
      <x:c r="L109" s="144"/>
      <x:c r="M109" s="138"/>
      <x:c r="N109" s="38"/>
      <x:c r="O109" s="263" t="str">
        <x:f>IF(B109="","",MAX(0,T109+K109-L109))</x:f>
      </x:c>
      <x:c r="P109" s="144"/>
      <x:c r="Q109" s="144"/>
      <x:c r="R109" s="138"/>
      <x:c r="S109" s="38"/>
      <x:c r="T109" s="263" t="str">
        <x:f>IF(B109="","",MAX(0,P109-Q109))</x:f>
      </x:c>
      <x:c r="U109" s="144"/>
      <x:c r="V109" s="144"/>
      <x:c r="W109" s="138"/>
      <x:c r="X109" s="263" t="str">
        <x:f>IF(B109="","",MAX(0,U109-V109))</x:f>
      </x:c>
      <x:c r="Y109" s="257" t="str">
        <x:f>IF(B109="","",IF(E109&lt;=0,0,IF(T109&gt;0,3,IF(O109&gt;0,2,1))))</x:f>
      </x:c>
      <x:c r="Z109" s="1"/>
      <x:c r="AA109" s="1"/>
      <x:c r="AB109" s="1"/>
      <x:c r="AC109" s="1"/>
      <x:c r="AD109" s="1"/>
      <x:c r="AE109" s="1"/>
    </x:row>
    <x:row r="110" ht="18" customHeight="1">
      <x:c r="A110" s="38"/>
      <x:c r="B110" s="38"/>
      <x:c r="C110" s="38"/>
      <x:c r="D110" s="38"/>
      <x:c r="E110" s="263" t="str">
        <x:f>IF(B110="","",J110)</x:f>
      </x:c>
      <x:c r="F110" s="144"/>
      <x:c r="G110" s="144"/>
      <x:c r="H110" s="138"/>
      <x:c r="I110" s="38"/>
      <x:c r="J110" s="263" t="str">
        <x:f>IF(B110="","",MAX(0,O110+F110-G110))</x:f>
      </x:c>
      <x:c r="K110" s="144"/>
      <x:c r="L110" s="144"/>
      <x:c r="M110" s="138"/>
      <x:c r="N110" s="38"/>
      <x:c r="O110" s="263" t="str">
        <x:f>IF(B110="","",MAX(0,T110+K110-L110))</x:f>
      </x:c>
      <x:c r="P110" s="144"/>
      <x:c r="Q110" s="144"/>
      <x:c r="R110" s="138"/>
      <x:c r="S110" s="38"/>
      <x:c r="T110" s="263" t="str">
        <x:f>IF(B110="","",MAX(0,P110-Q110))</x:f>
      </x:c>
      <x:c r="U110" s="144"/>
      <x:c r="V110" s="144"/>
      <x:c r="W110" s="138"/>
      <x:c r="X110" s="263" t="str">
        <x:f>IF(B110="","",MAX(0,U110-V110))</x:f>
      </x:c>
      <x:c r="Y110" s="257" t="str">
        <x:f>IF(B110="","",IF(E110&lt;=0,0,IF(T110&gt;0,3,IF(O110&gt;0,2,1))))</x:f>
      </x:c>
      <x:c r="Z110" s="1"/>
      <x:c r="AA110" s="1"/>
      <x:c r="AB110" s="1"/>
      <x:c r="AC110" s="1"/>
      <x:c r="AD110" s="1"/>
      <x:c r="AE110" s="1"/>
    </x:row>
    <x:row r="111" ht="18" customHeight="1">
      <x:c r="A111" s="38"/>
      <x:c r="B111" s="38"/>
      <x:c r="C111" s="38"/>
      <x:c r="D111" s="38"/>
      <x:c r="E111" s="263" t="str">
        <x:f>IF(B111="","",J111)</x:f>
      </x:c>
      <x:c r="F111" s="144"/>
      <x:c r="G111" s="144"/>
      <x:c r="H111" s="138"/>
      <x:c r="I111" s="38"/>
      <x:c r="J111" s="263" t="str">
        <x:f>IF(B111="","",MAX(0,O111+F111-G111))</x:f>
      </x:c>
      <x:c r="K111" s="144"/>
      <x:c r="L111" s="144"/>
      <x:c r="M111" s="138"/>
      <x:c r="N111" s="38"/>
      <x:c r="O111" s="263" t="str">
        <x:f>IF(B111="","",MAX(0,T111+K111-L111))</x:f>
      </x:c>
      <x:c r="P111" s="144"/>
      <x:c r="Q111" s="144"/>
      <x:c r="R111" s="138"/>
      <x:c r="S111" s="38"/>
      <x:c r="T111" s="263" t="str">
        <x:f>IF(B111="","",MAX(0,P111-Q111))</x:f>
      </x:c>
      <x:c r="U111" s="144"/>
      <x:c r="V111" s="144"/>
      <x:c r="W111" s="138"/>
      <x:c r="X111" s="263" t="str">
        <x:f>IF(B111="","",MAX(0,U111-V111))</x:f>
      </x:c>
      <x:c r="Y111" s="257" t="str">
        <x:f>IF(B111="","",IF(E111&lt;=0,0,IF(T111&gt;0,3,IF(O111&gt;0,2,1))))</x:f>
      </x:c>
      <x:c r="Z111" s="1"/>
      <x:c r="AA111" s="1"/>
      <x:c r="AB111" s="1"/>
      <x:c r="AC111" s="1"/>
      <x:c r="AD111" s="1"/>
      <x:c r="AE111" s="1"/>
    </x:row>
    <x:row r="112" ht="18" customHeight="1">
      <x:c r="A112" s="38"/>
      <x:c r="B112" s="38"/>
      <x:c r="C112" s="38"/>
      <x:c r="D112" s="38"/>
      <x:c r="E112" s="263" t="str">
        <x:f>IF(B112="","",J112)</x:f>
      </x:c>
      <x:c r="F112" s="144"/>
      <x:c r="G112" s="144"/>
      <x:c r="H112" s="138"/>
      <x:c r="I112" s="38"/>
      <x:c r="J112" s="263" t="str">
        <x:f>IF(B112="","",MAX(0,O112+F112-G112))</x:f>
      </x:c>
      <x:c r="K112" s="144"/>
      <x:c r="L112" s="144"/>
      <x:c r="M112" s="138"/>
      <x:c r="N112" s="38"/>
      <x:c r="O112" s="263" t="str">
        <x:f>IF(B112="","",MAX(0,T112+K112-L112))</x:f>
      </x:c>
      <x:c r="P112" s="144"/>
      <x:c r="Q112" s="144"/>
      <x:c r="R112" s="138"/>
      <x:c r="S112" s="38"/>
      <x:c r="T112" s="263" t="str">
        <x:f>IF(B112="","",MAX(0,P112-Q112))</x:f>
      </x:c>
      <x:c r="U112" s="144"/>
      <x:c r="V112" s="144"/>
      <x:c r="W112" s="138"/>
      <x:c r="X112" s="263" t="str">
        <x:f>IF(B112="","",MAX(0,U112-V112))</x:f>
      </x:c>
      <x:c r="Y112" s="257" t="str">
        <x:f>IF(B112="","",IF(E112&lt;=0,0,IF(T112&gt;0,3,IF(O112&gt;0,2,1))))</x:f>
      </x:c>
      <x:c r="Z112" s="1"/>
      <x:c r="AA112" s="1"/>
      <x:c r="AB112" s="1"/>
      <x:c r="AC112" s="1"/>
      <x:c r="AD112" s="1"/>
      <x:c r="AE112" s="1"/>
    </x:row>
    <x:row r="113" ht="18" customHeight="1">
      <x:c r="A113" s="38"/>
      <x:c r="B113" s="38"/>
      <x:c r="C113" s="38"/>
      <x:c r="D113" s="38"/>
      <x:c r="E113" s="263" t="str">
        <x:f>IF(B113="","",J113)</x:f>
      </x:c>
      <x:c r="F113" s="144"/>
      <x:c r="G113" s="144"/>
      <x:c r="H113" s="138"/>
      <x:c r="I113" s="38"/>
      <x:c r="J113" s="263" t="str">
        <x:f>IF(B113="","",MAX(0,O113+F113-G113))</x:f>
      </x:c>
      <x:c r="K113" s="144"/>
      <x:c r="L113" s="144"/>
      <x:c r="M113" s="138"/>
      <x:c r="N113" s="38"/>
      <x:c r="O113" s="263" t="str">
        <x:f>IF(B113="","",MAX(0,T113+K113-L113))</x:f>
      </x:c>
      <x:c r="P113" s="144"/>
      <x:c r="Q113" s="144"/>
      <x:c r="R113" s="138"/>
      <x:c r="S113" s="38"/>
      <x:c r="T113" s="263" t="str">
        <x:f>IF(B113="","",MAX(0,P113-Q113))</x:f>
      </x:c>
      <x:c r="U113" s="144"/>
      <x:c r="V113" s="144"/>
      <x:c r="W113" s="138"/>
      <x:c r="X113" s="263" t="str">
        <x:f>IF(B113="","",MAX(0,U113-V113))</x:f>
      </x:c>
      <x:c r="Y113" s="257" t="str">
        <x:f>IF(B113="","",IF(E113&lt;=0,0,IF(T113&gt;0,3,IF(O113&gt;0,2,1))))</x:f>
      </x:c>
      <x:c r="Z113" s="1"/>
      <x:c r="AA113" s="1"/>
      <x:c r="AB113" s="1"/>
      <x:c r="AC113" s="1"/>
      <x:c r="AD113" s="1"/>
      <x:c r="AE113" s="1"/>
    </x:row>
    <x:row r="114" ht="18" customHeight="1">
      <x:c r="A114" s="38"/>
      <x:c r="B114" s="38"/>
      <x:c r="C114" s="38"/>
      <x:c r="D114" s="38"/>
      <x:c r="E114" s="263" t="str">
        <x:f>IF(B114="","",J114)</x:f>
      </x:c>
      <x:c r="F114" s="144"/>
      <x:c r="G114" s="144"/>
      <x:c r="H114" s="138"/>
      <x:c r="I114" s="38"/>
      <x:c r="J114" s="263" t="str">
        <x:f>IF(B114="","",MAX(0,O114+F114-G114))</x:f>
      </x:c>
      <x:c r="K114" s="144"/>
      <x:c r="L114" s="144"/>
      <x:c r="M114" s="138"/>
      <x:c r="N114" s="38"/>
      <x:c r="O114" s="263" t="str">
        <x:f>IF(B114="","",MAX(0,T114+K114-L114))</x:f>
      </x:c>
      <x:c r="P114" s="144"/>
      <x:c r="Q114" s="144"/>
      <x:c r="R114" s="138"/>
      <x:c r="S114" s="38"/>
      <x:c r="T114" s="263" t="str">
        <x:f>IF(B114="","",MAX(0,P114-Q114))</x:f>
      </x:c>
      <x:c r="U114" s="144"/>
      <x:c r="V114" s="144"/>
      <x:c r="W114" s="138"/>
      <x:c r="X114" s="263" t="str">
        <x:f>IF(B114="","",MAX(0,U114-V114))</x:f>
      </x:c>
      <x:c r="Y114" s="257" t="str">
        <x:f>IF(B114="","",IF(E114&lt;=0,0,IF(T114&gt;0,3,IF(O114&gt;0,2,1))))</x:f>
      </x:c>
      <x:c r="Z114" s="1"/>
      <x:c r="AA114" s="1"/>
      <x:c r="AB114" s="1"/>
      <x:c r="AC114" s="1"/>
      <x:c r="AD114" s="1"/>
      <x:c r="AE114" s="1"/>
    </x:row>
    <x:row r="115" ht="18" customHeight="1">
      <x:c r="A115" s="38"/>
      <x:c r="B115" s="38"/>
      <x:c r="C115" s="38"/>
      <x:c r="D115" s="38"/>
      <x:c r="E115" s="263" t="str">
        <x:f>IF(B115="","",J115)</x:f>
      </x:c>
      <x:c r="F115" s="144"/>
      <x:c r="G115" s="144"/>
      <x:c r="H115" s="138"/>
      <x:c r="I115" s="38"/>
      <x:c r="J115" s="263" t="str">
        <x:f>IF(B115="","",MAX(0,O115+F115-G115))</x:f>
      </x:c>
      <x:c r="K115" s="144"/>
      <x:c r="L115" s="144"/>
      <x:c r="M115" s="138"/>
      <x:c r="N115" s="38"/>
      <x:c r="O115" s="263" t="str">
        <x:f>IF(B115="","",MAX(0,T115+K115-L115))</x:f>
      </x:c>
      <x:c r="P115" s="144"/>
      <x:c r="Q115" s="144"/>
      <x:c r="R115" s="138"/>
      <x:c r="S115" s="38"/>
      <x:c r="T115" s="263" t="str">
        <x:f>IF(B115="","",MAX(0,P115-Q115))</x:f>
      </x:c>
      <x:c r="U115" s="144"/>
      <x:c r="V115" s="144"/>
      <x:c r="W115" s="138"/>
      <x:c r="X115" s="263" t="str">
        <x:f>IF(B115="","",MAX(0,U115-V115))</x:f>
      </x:c>
      <x:c r="Y115" s="257" t="str">
        <x:f>IF(B115="","",IF(E115&lt;=0,0,IF(T115&gt;0,3,IF(O115&gt;0,2,1))))</x:f>
      </x:c>
      <x:c r="Z115" s="1"/>
      <x:c r="AA115" s="1"/>
      <x:c r="AB115" s="1"/>
      <x:c r="AC115" s="1"/>
      <x:c r="AD115" s="1"/>
      <x:c r="AE115" s="1"/>
    </x:row>
    <x:row r="116" ht="18" customHeight="1">
      <x:c r="A116" s="38"/>
      <x:c r="B116" s="38"/>
      <x:c r="C116" s="38"/>
      <x:c r="D116" s="38"/>
      <x:c r="E116" s="263" t="str">
        <x:f>IF(B116="","",J116)</x:f>
      </x:c>
      <x:c r="F116" s="144"/>
      <x:c r="G116" s="144"/>
      <x:c r="H116" s="138"/>
      <x:c r="I116" s="38"/>
      <x:c r="J116" s="263" t="str">
        <x:f>IF(B116="","",MAX(0,O116+F116-G116))</x:f>
      </x:c>
      <x:c r="K116" s="144"/>
      <x:c r="L116" s="144"/>
      <x:c r="M116" s="138"/>
      <x:c r="N116" s="38"/>
      <x:c r="O116" s="263" t="str">
        <x:f>IF(B116="","",MAX(0,T116+K116-L116))</x:f>
      </x:c>
      <x:c r="P116" s="144"/>
      <x:c r="Q116" s="144"/>
      <x:c r="R116" s="138"/>
      <x:c r="S116" s="38"/>
      <x:c r="T116" s="263" t="str">
        <x:f>IF(B116="","",MAX(0,P116-Q116))</x:f>
      </x:c>
      <x:c r="U116" s="144"/>
      <x:c r="V116" s="144"/>
      <x:c r="W116" s="138"/>
      <x:c r="X116" s="263" t="str">
        <x:f>IF(B116="","",MAX(0,U116-V116))</x:f>
      </x:c>
      <x:c r="Y116" s="257" t="str">
        <x:f>IF(B116="","",IF(E116&lt;=0,0,IF(T116&gt;0,3,IF(O116&gt;0,2,1))))</x:f>
      </x:c>
      <x:c r="Z116" s="1"/>
      <x:c r="AA116" s="1"/>
      <x:c r="AB116" s="1"/>
      <x:c r="AC116" s="1"/>
      <x:c r="AD116" s="1"/>
      <x:c r="AE116" s="1"/>
    </x:row>
    <x:row r="117" ht="18" customHeight="1">
      <x:c r="A117" s="38"/>
      <x:c r="B117" s="38"/>
      <x:c r="C117" s="38"/>
      <x:c r="D117" s="38"/>
      <x:c r="E117" s="263" t="str">
        <x:f>IF(B117="","",J117)</x:f>
      </x:c>
      <x:c r="F117" s="144"/>
      <x:c r="G117" s="144"/>
      <x:c r="H117" s="138"/>
      <x:c r="I117" s="38"/>
      <x:c r="J117" s="263" t="str">
        <x:f>IF(B117="","",MAX(0,O117+F117-G117))</x:f>
      </x:c>
      <x:c r="K117" s="144"/>
      <x:c r="L117" s="144"/>
      <x:c r="M117" s="138"/>
      <x:c r="N117" s="38"/>
      <x:c r="O117" s="263" t="str">
        <x:f>IF(B117="","",MAX(0,T117+K117-L117))</x:f>
      </x:c>
      <x:c r="P117" s="144"/>
      <x:c r="Q117" s="144"/>
      <x:c r="R117" s="138"/>
      <x:c r="S117" s="38"/>
      <x:c r="T117" s="263" t="str">
        <x:f>IF(B117="","",MAX(0,P117-Q117))</x:f>
      </x:c>
      <x:c r="U117" s="144"/>
      <x:c r="V117" s="144"/>
      <x:c r="W117" s="138"/>
      <x:c r="X117" s="263" t="str">
        <x:f>IF(B117="","",MAX(0,U117-V117))</x:f>
      </x:c>
      <x:c r="Y117" s="257" t="str">
        <x:f>IF(B117="","",IF(E117&lt;=0,0,IF(T117&gt;0,3,IF(O117&gt;0,2,1))))</x:f>
      </x:c>
      <x:c r="Z117" s="1"/>
      <x:c r="AA117" s="1"/>
      <x:c r="AB117" s="1"/>
      <x:c r="AC117" s="1"/>
      <x:c r="AD117" s="1"/>
      <x:c r="AE117" s="1"/>
    </x:row>
    <x:row r="118" ht="18" customHeight="1">
      <x:c r="A118" s="38"/>
      <x:c r="B118" s="38"/>
      <x:c r="C118" s="38"/>
      <x:c r="D118" s="38"/>
      <x:c r="E118" s="263" t="str">
        <x:f>IF(B118="","",J118)</x:f>
      </x:c>
      <x:c r="F118" s="144"/>
      <x:c r="G118" s="144"/>
      <x:c r="H118" s="138"/>
      <x:c r="I118" s="38"/>
      <x:c r="J118" s="263" t="str">
        <x:f>IF(B118="","",MAX(0,O118+F118-G118))</x:f>
      </x:c>
      <x:c r="K118" s="144"/>
      <x:c r="L118" s="144"/>
      <x:c r="M118" s="138"/>
      <x:c r="N118" s="38"/>
      <x:c r="O118" s="263" t="str">
        <x:f>IF(B118="","",MAX(0,T118+K118-L118))</x:f>
      </x:c>
      <x:c r="P118" s="144"/>
      <x:c r="Q118" s="144"/>
      <x:c r="R118" s="138"/>
      <x:c r="S118" s="38"/>
      <x:c r="T118" s="263" t="str">
        <x:f>IF(B118="","",MAX(0,P118-Q118))</x:f>
      </x:c>
      <x:c r="U118" s="144"/>
      <x:c r="V118" s="144"/>
      <x:c r="W118" s="138"/>
      <x:c r="X118" s="263" t="str">
        <x:f>IF(B118="","",MAX(0,U118-V118))</x:f>
      </x:c>
      <x:c r="Y118" s="257" t="str">
        <x:f>IF(B118="","",IF(E118&lt;=0,0,IF(T118&gt;0,3,IF(O118&gt;0,2,1))))</x:f>
      </x:c>
      <x:c r="Z118" s="1"/>
      <x:c r="AA118" s="1"/>
      <x:c r="AB118" s="1"/>
      <x:c r="AC118" s="1"/>
      <x:c r="AD118" s="1"/>
      <x:c r="AE118" s="1"/>
    </x:row>
    <x:row r="119" ht="18" customHeight="1">
      <x:c r="A119" s="38"/>
      <x:c r="B119" s="38"/>
      <x:c r="C119" s="38"/>
      <x:c r="D119" s="38"/>
      <x:c r="E119" s="263" t="str">
        <x:f>IF(B119="","",J119)</x:f>
      </x:c>
      <x:c r="F119" s="144"/>
      <x:c r="G119" s="144"/>
      <x:c r="H119" s="138"/>
      <x:c r="I119" s="38"/>
      <x:c r="J119" s="263" t="str">
        <x:f>IF(B119="","",MAX(0,O119+F119-G119))</x:f>
      </x:c>
      <x:c r="K119" s="144"/>
      <x:c r="L119" s="144"/>
      <x:c r="M119" s="138"/>
      <x:c r="N119" s="38"/>
      <x:c r="O119" s="263" t="str">
        <x:f>IF(B119="","",MAX(0,T119+K119-L119))</x:f>
      </x:c>
      <x:c r="P119" s="144"/>
      <x:c r="Q119" s="144"/>
      <x:c r="R119" s="138"/>
      <x:c r="S119" s="38"/>
      <x:c r="T119" s="263" t="str">
        <x:f>IF(B119="","",MAX(0,P119-Q119))</x:f>
      </x:c>
      <x:c r="U119" s="144"/>
      <x:c r="V119" s="144"/>
      <x:c r="W119" s="138"/>
      <x:c r="X119" s="263" t="str">
        <x:f>IF(B119="","",MAX(0,U119-V119))</x:f>
      </x:c>
      <x:c r="Y119" s="257" t="str">
        <x:f>IF(B119="","",IF(E119&lt;=0,0,IF(T119&gt;0,3,IF(O119&gt;0,2,1))))</x:f>
      </x:c>
      <x:c r="Z119" s="1"/>
      <x:c r="AA119" s="1"/>
      <x:c r="AB119" s="1"/>
      <x:c r="AC119" s="1"/>
      <x:c r="AD119" s="1"/>
      <x:c r="AE119" s="1"/>
    </x:row>
    <x:row r="120" ht="18" customHeight="1">
      <x:c r="A120" s="38"/>
      <x:c r="B120" s="38"/>
      <x:c r="C120" s="38"/>
      <x:c r="D120" s="38"/>
      <x:c r="E120" s="263" t="str">
        <x:f>IF(B120="","",J120)</x:f>
      </x:c>
      <x:c r="F120" s="144"/>
      <x:c r="G120" s="144"/>
      <x:c r="H120" s="138"/>
      <x:c r="I120" s="38"/>
      <x:c r="J120" s="263" t="str">
        <x:f>IF(B120="","",MAX(0,O120+F120-G120))</x:f>
      </x:c>
      <x:c r="K120" s="144"/>
      <x:c r="L120" s="144"/>
      <x:c r="M120" s="138"/>
      <x:c r="N120" s="38"/>
      <x:c r="O120" s="263" t="str">
        <x:f>IF(B120="","",MAX(0,T120+K120-L120))</x:f>
      </x:c>
      <x:c r="P120" s="144"/>
      <x:c r="Q120" s="144"/>
      <x:c r="R120" s="138"/>
      <x:c r="S120" s="38"/>
      <x:c r="T120" s="263" t="str">
        <x:f>IF(B120="","",MAX(0,P120-Q120))</x:f>
      </x:c>
      <x:c r="U120" s="144"/>
      <x:c r="V120" s="144"/>
      <x:c r="W120" s="138"/>
      <x:c r="X120" s="263" t="str">
        <x:f>IF(B120="","",MAX(0,U120-V120))</x:f>
      </x:c>
      <x:c r="Y120" s="257" t="str">
        <x:f>IF(B120="","",IF(E120&lt;=0,0,IF(T120&gt;0,3,IF(O120&gt;0,2,1))))</x:f>
      </x:c>
      <x:c r="Z120" s="1"/>
      <x:c r="AA120" s="1"/>
      <x:c r="AB120" s="1"/>
      <x:c r="AC120" s="1"/>
      <x:c r="AD120" s="1"/>
      <x:c r="AE120" s="1"/>
    </x:row>
    <x:row r="121" ht="18" customHeight="1">
      <x:c r="A121" s="38"/>
      <x:c r="B121" s="38"/>
      <x:c r="C121" s="38"/>
      <x:c r="D121" s="38"/>
      <x:c r="E121" s="263" t="str">
        <x:f>IF(B121="","",J121)</x:f>
      </x:c>
      <x:c r="F121" s="144"/>
      <x:c r="G121" s="144"/>
      <x:c r="H121" s="138"/>
      <x:c r="I121" s="38"/>
      <x:c r="J121" s="263" t="str">
        <x:f>IF(B121="","",MAX(0,O121+F121-G121))</x:f>
      </x:c>
      <x:c r="K121" s="144"/>
      <x:c r="L121" s="144"/>
      <x:c r="M121" s="138"/>
      <x:c r="N121" s="38"/>
      <x:c r="O121" s="263" t="str">
        <x:f>IF(B121="","",MAX(0,T121+K121-L121))</x:f>
      </x:c>
      <x:c r="P121" s="144"/>
      <x:c r="Q121" s="144"/>
      <x:c r="R121" s="138"/>
      <x:c r="S121" s="38"/>
      <x:c r="T121" s="263" t="str">
        <x:f>IF(B121="","",MAX(0,P121-Q121))</x:f>
      </x:c>
      <x:c r="U121" s="144"/>
      <x:c r="V121" s="144"/>
      <x:c r="W121" s="138"/>
      <x:c r="X121" s="263" t="str">
        <x:f>IF(B121="","",MAX(0,U121-V121))</x:f>
      </x:c>
      <x:c r="Y121" s="257" t="str">
        <x:f>IF(B121="","",IF(E121&lt;=0,0,IF(T121&gt;0,3,IF(O121&gt;0,2,1))))</x:f>
      </x:c>
      <x:c r="Z121" s="1"/>
      <x:c r="AA121" s="1"/>
      <x:c r="AB121" s="1"/>
      <x:c r="AC121" s="1"/>
      <x:c r="AD121" s="1"/>
      <x:c r="AE121" s="1"/>
    </x:row>
    <x:row r="122" ht="18" customHeight="1">
      <x:c r="A122" s="38"/>
      <x:c r="B122" s="38"/>
      <x:c r="C122" s="38"/>
      <x:c r="D122" s="38"/>
      <x:c r="E122" s="263" t="str">
        <x:f>IF(B122="","",J122)</x:f>
      </x:c>
      <x:c r="F122" s="144"/>
      <x:c r="G122" s="144"/>
      <x:c r="H122" s="138"/>
      <x:c r="I122" s="38"/>
      <x:c r="J122" s="263" t="str">
        <x:f>IF(B122="","",MAX(0,O122+F122-G122))</x:f>
      </x:c>
      <x:c r="K122" s="144"/>
      <x:c r="L122" s="144"/>
      <x:c r="M122" s="138"/>
      <x:c r="N122" s="38"/>
      <x:c r="O122" s="263" t="str">
        <x:f>IF(B122="","",MAX(0,T122+K122-L122))</x:f>
      </x:c>
      <x:c r="P122" s="144"/>
      <x:c r="Q122" s="144"/>
      <x:c r="R122" s="138"/>
      <x:c r="S122" s="38"/>
      <x:c r="T122" s="263" t="str">
        <x:f>IF(B122="","",MAX(0,P122-Q122))</x:f>
      </x:c>
      <x:c r="U122" s="144"/>
      <x:c r="V122" s="144"/>
      <x:c r="W122" s="138"/>
      <x:c r="X122" s="263" t="str">
        <x:f>IF(B122="","",MAX(0,U122-V122))</x:f>
      </x:c>
      <x:c r="Y122" s="257" t="str">
        <x:f>IF(B122="","",IF(E122&lt;=0,0,IF(T122&gt;0,3,IF(O122&gt;0,2,1))))</x:f>
      </x:c>
      <x:c r="Z122" s="1"/>
      <x:c r="AA122" s="1"/>
      <x:c r="AB122" s="1"/>
      <x:c r="AC122" s="1"/>
      <x:c r="AD122" s="1"/>
      <x:c r="AE122" s="1"/>
    </x:row>
    <x:row r="123" ht="18" customHeight="1">
      <x:c r="A123" s="38"/>
      <x:c r="B123" s="38"/>
      <x:c r="C123" s="38"/>
      <x:c r="D123" s="38"/>
      <x:c r="E123" s="263" t="str">
        <x:f>IF(B123="","",J123)</x:f>
      </x:c>
      <x:c r="F123" s="144"/>
      <x:c r="G123" s="144"/>
      <x:c r="H123" s="138"/>
      <x:c r="I123" s="38"/>
      <x:c r="J123" s="263" t="str">
        <x:f>IF(B123="","",MAX(0,O123+F123-G123))</x:f>
      </x:c>
      <x:c r="K123" s="144"/>
      <x:c r="L123" s="144"/>
      <x:c r="M123" s="138"/>
      <x:c r="N123" s="38"/>
      <x:c r="O123" s="263" t="str">
        <x:f>IF(B123="","",MAX(0,T123+K123-L123))</x:f>
      </x:c>
      <x:c r="P123" s="144"/>
      <x:c r="Q123" s="144"/>
      <x:c r="R123" s="138"/>
      <x:c r="S123" s="38"/>
      <x:c r="T123" s="263" t="str">
        <x:f>IF(B123="","",MAX(0,P123-Q123))</x:f>
      </x:c>
      <x:c r="U123" s="144"/>
      <x:c r="V123" s="144"/>
      <x:c r="W123" s="138"/>
      <x:c r="X123" s="263" t="str">
        <x:f>IF(B123="","",MAX(0,U123-V123))</x:f>
      </x:c>
      <x:c r="Y123" s="257" t="str">
        <x:f>IF(B123="","",IF(E123&lt;=0,0,IF(T123&gt;0,3,IF(O123&gt;0,2,1))))</x:f>
      </x:c>
      <x:c r="Z123" s="1"/>
      <x:c r="AA123" s="1"/>
      <x:c r="AB123" s="1"/>
      <x:c r="AC123" s="1"/>
      <x:c r="AD123" s="1"/>
      <x:c r="AE123" s="1"/>
    </x:row>
    <x:row r="124" ht="18" customHeight="1">
      <x:c r="A124" s="38"/>
      <x:c r="B124" s="38"/>
      <x:c r="C124" s="38"/>
      <x:c r="D124" s="38"/>
      <x:c r="E124" s="263" t="str">
        <x:f>IF(B124="","",J124)</x:f>
      </x:c>
      <x:c r="F124" s="144"/>
      <x:c r="G124" s="144"/>
      <x:c r="H124" s="138"/>
      <x:c r="I124" s="38"/>
      <x:c r="J124" s="263" t="str">
        <x:f>IF(B124="","",MAX(0,O124+F124-G124))</x:f>
      </x:c>
      <x:c r="K124" s="144"/>
      <x:c r="L124" s="144"/>
      <x:c r="M124" s="138"/>
      <x:c r="N124" s="38"/>
      <x:c r="O124" s="263" t="str">
        <x:f>IF(B124="","",MAX(0,T124+K124-L124))</x:f>
      </x:c>
      <x:c r="P124" s="144"/>
      <x:c r="Q124" s="144"/>
      <x:c r="R124" s="138"/>
      <x:c r="S124" s="38"/>
      <x:c r="T124" s="263" t="str">
        <x:f>IF(B124="","",MAX(0,P124-Q124))</x:f>
      </x:c>
      <x:c r="U124" s="144"/>
      <x:c r="V124" s="144"/>
      <x:c r="W124" s="138"/>
      <x:c r="X124" s="263" t="str">
        <x:f>IF(B124="","",MAX(0,U124-V124))</x:f>
      </x:c>
      <x:c r="Y124" s="257" t="str">
        <x:f>IF(B124="","",IF(E124&lt;=0,0,IF(T124&gt;0,3,IF(O124&gt;0,2,1))))</x:f>
      </x:c>
      <x:c r="Z124" s="1"/>
      <x:c r="AA124" s="1"/>
      <x:c r="AB124" s="1"/>
      <x:c r="AC124" s="1"/>
      <x:c r="AD124" s="1"/>
      <x:c r="AE124" s="1"/>
    </x:row>
    <x:row r="125" ht="18" customHeight="1">
      <x:c r="A125" s="38"/>
      <x:c r="B125" s="38"/>
      <x:c r="C125" s="38"/>
      <x:c r="D125" s="38"/>
      <x:c r="E125" s="263" t="str">
        <x:f>IF(B125="","",J125)</x:f>
      </x:c>
      <x:c r="F125" s="144"/>
      <x:c r="G125" s="144"/>
      <x:c r="H125" s="138"/>
      <x:c r="I125" s="38"/>
      <x:c r="J125" s="263" t="str">
        <x:f>IF(B125="","",MAX(0,O125+F125-G125))</x:f>
      </x:c>
      <x:c r="K125" s="144"/>
      <x:c r="L125" s="144"/>
      <x:c r="M125" s="138"/>
      <x:c r="N125" s="38"/>
      <x:c r="O125" s="263" t="str">
        <x:f>IF(B125="","",MAX(0,T125+K125-L125))</x:f>
      </x:c>
      <x:c r="P125" s="144"/>
      <x:c r="Q125" s="144"/>
      <x:c r="R125" s="138"/>
      <x:c r="S125" s="38"/>
      <x:c r="T125" s="263" t="str">
        <x:f>IF(B125="","",MAX(0,P125-Q125))</x:f>
      </x:c>
      <x:c r="U125" s="144"/>
      <x:c r="V125" s="144"/>
      <x:c r="W125" s="138"/>
      <x:c r="X125" s="263" t="str">
        <x:f>IF(B125="","",MAX(0,U125-V125))</x:f>
      </x:c>
      <x:c r="Y125" s="257" t="str">
        <x:f>IF(B125="","",IF(E125&lt;=0,0,IF(T125&gt;0,3,IF(O125&gt;0,2,1))))</x:f>
      </x:c>
      <x:c r="Z125" s="1"/>
      <x:c r="AA125" s="1"/>
      <x:c r="AB125" s="1"/>
      <x:c r="AC125" s="1"/>
      <x:c r="AD125" s="1"/>
      <x:c r="AE125" s="1"/>
    </x:row>
    <x:row r="126" ht="18" customHeight="1">
      <x:c r="A126" s="38"/>
      <x:c r="B126" s="38"/>
      <x:c r="C126" s="38"/>
      <x:c r="D126" s="38"/>
      <x:c r="E126" s="263" t="str">
        <x:f>IF(B126="","",J126)</x:f>
      </x:c>
      <x:c r="F126" s="144"/>
      <x:c r="G126" s="144"/>
      <x:c r="H126" s="138"/>
      <x:c r="I126" s="38"/>
      <x:c r="J126" s="263" t="str">
        <x:f>IF(B126="","",MAX(0,O126+F126-G126))</x:f>
      </x:c>
      <x:c r="K126" s="144"/>
      <x:c r="L126" s="144"/>
      <x:c r="M126" s="138"/>
      <x:c r="N126" s="38"/>
      <x:c r="O126" s="263" t="str">
        <x:f>IF(B126="","",MAX(0,T126+K126-L126))</x:f>
      </x:c>
      <x:c r="P126" s="144"/>
      <x:c r="Q126" s="144"/>
      <x:c r="R126" s="138"/>
      <x:c r="S126" s="38"/>
      <x:c r="T126" s="263" t="str">
        <x:f>IF(B126="","",MAX(0,P126-Q126))</x:f>
      </x:c>
      <x:c r="U126" s="144"/>
      <x:c r="V126" s="144"/>
      <x:c r="W126" s="138"/>
      <x:c r="X126" s="263" t="str">
        <x:f>IF(B126="","",MAX(0,U126-V126))</x:f>
      </x:c>
      <x:c r="Y126" s="257" t="str">
        <x:f>IF(B126="","",IF(E126&lt;=0,0,IF(T126&gt;0,3,IF(O126&gt;0,2,1))))</x:f>
      </x:c>
      <x:c r="Z126" s="1"/>
      <x:c r="AA126" s="1"/>
      <x:c r="AB126" s="1"/>
      <x:c r="AC126" s="1"/>
      <x:c r="AD126" s="1"/>
      <x:c r="AE126" s="1"/>
    </x:row>
    <x:row r="127" ht="18" customHeight="1">
      <x:c r="A127" s="38"/>
      <x:c r="B127" s="38"/>
      <x:c r="C127" s="38"/>
      <x:c r="D127" s="38"/>
      <x:c r="E127" s="263" t="str">
        <x:f>IF(B127="","",J127)</x:f>
      </x:c>
      <x:c r="F127" s="144"/>
      <x:c r="G127" s="144"/>
      <x:c r="H127" s="138"/>
      <x:c r="I127" s="38"/>
      <x:c r="J127" s="263" t="str">
        <x:f>IF(B127="","",MAX(0,O127+F127-G127))</x:f>
      </x:c>
      <x:c r="K127" s="144"/>
      <x:c r="L127" s="144"/>
      <x:c r="M127" s="138"/>
      <x:c r="N127" s="38"/>
      <x:c r="O127" s="263" t="str">
        <x:f>IF(B127="","",MAX(0,T127+K127-L127))</x:f>
      </x:c>
      <x:c r="P127" s="144"/>
      <x:c r="Q127" s="144"/>
      <x:c r="R127" s="138"/>
      <x:c r="S127" s="38"/>
      <x:c r="T127" s="263" t="str">
        <x:f>IF(B127="","",MAX(0,P127-Q127))</x:f>
      </x:c>
      <x:c r="U127" s="144"/>
      <x:c r="V127" s="144"/>
      <x:c r="W127" s="138"/>
      <x:c r="X127" s="263" t="str">
        <x:f>IF(B127="","",MAX(0,U127-V127))</x:f>
      </x:c>
      <x:c r="Y127" s="257" t="str">
        <x:f>IF(B127="","",IF(E127&lt;=0,0,IF(T127&gt;0,3,IF(O127&gt;0,2,1))))</x:f>
      </x:c>
      <x:c r="Z127" s="1"/>
      <x:c r="AA127" s="1"/>
      <x:c r="AB127" s="1"/>
      <x:c r="AC127" s="1"/>
      <x:c r="AD127" s="1"/>
      <x:c r="AE127" s="1"/>
    </x:row>
    <x:row r="128" ht="18" customHeight="1">
      <x:c r="A128" s="38"/>
      <x:c r="B128" s="38"/>
      <x:c r="C128" s="38"/>
      <x:c r="D128" s="38"/>
      <x:c r="E128" s="263" t="str">
        <x:f>IF(B128="","",J128)</x:f>
      </x:c>
      <x:c r="F128" s="144"/>
      <x:c r="G128" s="144"/>
      <x:c r="H128" s="138"/>
      <x:c r="I128" s="38"/>
      <x:c r="J128" s="263" t="str">
        <x:f>IF(B128="","",MAX(0,O128+F128-G128))</x:f>
      </x:c>
      <x:c r="K128" s="144"/>
      <x:c r="L128" s="144"/>
      <x:c r="M128" s="138"/>
      <x:c r="N128" s="38"/>
      <x:c r="O128" s="263" t="str">
        <x:f>IF(B128="","",MAX(0,T128+K128-L128))</x:f>
      </x:c>
      <x:c r="P128" s="144"/>
      <x:c r="Q128" s="144"/>
      <x:c r="R128" s="138"/>
      <x:c r="S128" s="38"/>
      <x:c r="T128" s="263" t="str">
        <x:f>IF(B128="","",MAX(0,P128-Q128))</x:f>
      </x:c>
      <x:c r="U128" s="144"/>
      <x:c r="V128" s="144"/>
      <x:c r="W128" s="138"/>
      <x:c r="X128" s="263" t="str">
        <x:f>IF(B128="","",MAX(0,U128-V128))</x:f>
      </x:c>
      <x:c r="Y128" s="257" t="str">
        <x:f>IF(B128="","",IF(E128&lt;=0,0,IF(T128&gt;0,3,IF(O128&gt;0,2,1))))</x:f>
      </x:c>
      <x:c r="Z128" s="1"/>
      <x:c r="AA128" s="1"/>
      <x:c r="AB128" s="1"/>
      <x:c r="AC128" s="1"/>
      <x:c r="AD128" s="1"/>
      <x:c r="AE128" s="1"/>
    </x:row>
    <x:row r="129" ht="18" customHeight="1">
      <x:c r="A129" s="38"/>
      <x:c r="B129" s="38"/>
      <x:c r="C129" s="38"/>
      <x:c r="D129" s="38"/>
      <x:c r="E129" s="263" t="str">
        <x:f>IF(B129="","",J129)</x:f>
      </x:c>
      <x:c r="F129" s="144"/>
      <x:c r="G129" s="144"/>
      <x:c r="H129" s="138"/>
      <x:c r="I129" s="38"/>
      <x:c r="J129" s="263" t="str">
        <x:f>IF(B129="","",MAX(0,O129+F129-G129))</x:f>
      </x:c>
      <x:c r="K129" s="144"/>
      <x:c r="L129" s="144"/>
      <x:c r="M129" s="138"/>
      <x:c r="N129" s="38"/>
      <x:c r="O129" s="263" t="str">
        <x:f>IF(B129="","",MAX(0,T129+K129-L129))</x:f>
      </x:c>
      <x:c r="P129" s="144"/>
      <x:c r="Q129" s="144"/>
      <x:c r="R129" s="138"/>
      <x:c r="S129" s="38"/>
      <x:c r="T129" s="263" t="str">
        <x:f>IF(B129="","",MAX(0,P129-Q129))</x:f>
      </x:c>
      <x:c r="U129" s="144"/>
      <x:c r="V129" s="144"/>
      <x:c r="W129" s="138"/>
      <x:c r="X129" s="263" t="str">
        <x:f>IF(B129="","",MAX(0,U129-V129))</x:f>
      </x:c>
      <x:c r="Y129" s="257" t="str">
        <x:f>IF(B129="","",IF(E129&lt;=0,0,IF(T129&gt;0,3,IF(O129&gt;0,2,1))))</x:f>
      </x:c>
      <x:c r="Z129" s="1"/>
      <x:c r="AA129" s="1"/>
      <x:c r="AB129" s="1"/>
      <x:c r="AC129" s="1"/>
      <x:c r="AD129" s="1"/>
      <x:c r="AE129" s="1"/>
    </x:row>
    <x:row r="130" ht="18" customHeight="1">
      <x:c r="A130" s="38"/>
      <x:c r="B130" s="38"/>
      <x:c r="C130" s="38"/>
      <x:c r="D130" s="38"/>
      <x:c r="E130" s="263" t="str">
        <x:f>IF(B130="","",J130)</x:f>
      </x:c>
      <x:c r="F130" s="144"/>
      <x:c r="G130" s="144"/>
      <x:c r="H130" s="138"/>
      <x:c r="I130" s="38"/>
      <x:c r="J130" s="263" t="str">
        <x:f>IF(B130="","",MAX(0,O130+F130-G130))</x:f>
      </x:c>
      <x:c r="K130" s="144"/>
      <x:c r="L130" s="144"/>
      <x:c r="M130" s="138"/>
      <x:c r="N130" s="38"/>
      <x:c r="O130" s="263" t="str">
        <x:f>IF(B130="","",MAX(0,T130+K130-L130))</x:f>
      </x:c>
      <x:c r="P130" s="144"/>
      <x:c r="Q130" s="144"/>
      <x:c r="R130" s="138"/>
      <x:c r="S130" s="38"/>
      <x:c r="T130" s="263" t="str">
        <x:f>IF(B130="","",MAX(0,P130-Q130))</x:f>
      </x:c>
      <x:c r="U130" s="144"/>
      <x:c r="V130" s="144"/>
      <x:c r="W130" s="138"/>
      <x:c r="X130" s="263" t="str">
        <x:f>IF(B130="","",MAX(0,U130-V130))</x:f>
      </x:c>
      <x:c r="Y130" s="257" t="str">
        <x:f>IF(B130="","",IF(E130&lt;=0,0,IF(T130&gt;0,3,IF(O130&gt;0,2,1))))</x:f>
      </x:c>
      <x:c r="Z130" s="1"/>
      <x:c r="AA130" s="1"/>
      <x:c r="AB130" s="1"/>
      <x:c r="AC130" s="1"/>
      <x:c r="AD130" s="1"/>
      <x:c r="AE130" s="1"/>
    </x:row>
    <x:row r="131" ht="18" customHeight="1">
      <x:c r="A131" s="38"/>
      <x:c r="B131" s="38"/>
      <x:c r="C131" s="38"/>
      <x:c r="D131" s="38"/>
      <x:c r="E131" s="263" t="str">
        <x:f>IF(B131="","",J131)</x:f>
      </x:c>
      <x:c r="F131" s="144"/>
      <x:c r="G131" s="144"/>
      <x:c r="H131" s="138"/>
      <x:c r="I131" s="38"/>
      <x:c r="J131" s="263" t="str">
        <x:f>IF(B131="","",MAX(0,O131+F131-G131))</x:f>
      </x:c>
      <x:c r="K131" s="144"/>
      <x:c r="L131" s="144"/>
      <x:c r="M131" s="138"/>
      <x:c r="N131" s="38"/>
      <x:c r="O131" s="263" t="str">
        <x:f>IF(B131="","",MAX(0,T131+K131-L131))</x:f>
      </x:c>
      <x:c r="P131" s="144"/>
      <x:c r="Q131" s="144"/>
      <x:c r="R131" s="138"/>
      <x:c r="S131" s="38"/>
      <x:c r="T131" s="263" t="str">
        <x:f>IF(B131="","",MAX(0,P131-Q131))</x:f>
      </x:c>
      <x:c r="U131" s="144"/>
      <x:c r="V131" s="144"/>
      <x:c r="W131" s="138"/>
      <x:c r="X131" s="263" t="str">
        <x:f>IF(B131="","",MAX(0,U131-V131))</x:f>
      </x:c>
      <x:c r="Y131" s="257" t="str">
        <x:f>IF(B131="","",IF(E131&lt;=0,0,IF(T131&gt;0,3,IF(O131&gt;0,2,1))))</x:f>
      </x:c>
      <x:c r="Z131" s="1"/>
      <x:c r="AA131" s="1"/>
      <x:c r="AB131" s="1"/>
      <x:c r="AC131" s="1"/>
      <x:c r="AD131" s="1"/>
      <x:c r="AE131" s="1"/>
    </x:row>
    <x:row r="132" ht="18" customHeight="1">
      <x:c r="A132" s="38"/>
      <x:c r="B132" s="38"/>
      <x:c r="C132" s="38"/>
      <x:c r="D132" s="38"/>
      <x:c r="E132" s="263" t="str">
        <x:f>IF(B132="","",J132)</x:f>
      </x:c>
      <x:c r="F132" s="144"/>
      <x:c r="G132" s="144"/>
      <x:c r="H132" s="138"/>
      <x:c r="I132" s="38"/>
      <x:c r="J132" s="263" t="str">
        <x:f>IF(B132="","",MAX(0,O132+F132-G132))</x:f>
      </x:c>
      <x:c r="K132" s="144"/>
      <x:c r="L132" s="144"/>
      <x:c r="M132" s="138"/>
      <x:c r="N132" s="38"/>
      <x:c r="O132" s="263" t="str">
        <x:f>IF(B132="","",MAX(0,T132+K132-L132))</x:f>
      </x:c>
      <x:c r="P132" s="144"/>
      <x:c r="Q132" s="144"/>
      <x:c r="R132" s="138"/>
      <x:c r="S132" s="38"/>
      <x:c r="T132" s="263" t="str">
        <x:f>IF(B132="","",MAX(0,P132-Q132))</x:f>
      </x:c>
      <x:c r="U132" s="144"/>
      <x:c r="V132" s="144"/>
      <x:c r="W132" s="138"/>
      <x:c r="X132" s="263" t="str">
        <x:f>IF(B132="","",MAX(0,U132-V132))</x:f>
      </x:c>
      <x:c r="Y132" s="257" t="str">
        <x:f>IF(B132="","",IF(E132&lt;=0,0,IF(T132&gt;0,3,IF(O132&gt;0,2,1))))</x:f>
      </x:c>
      <x:c r="Z132" s="1"/>
      <x:c r="AA132" s="1"/>
      <x:c r="AB132" s="1"/>
      <x:c r="AC132" s="1"/>
      <x:c r="AD132" s="1"/>
      <x:c r="AE132" s="1"/>
    </x:row>
    <x:row r="133" ht="18" customHeight="1">
      <x:c r="A133" s="38"/>
      <x:c r="B133" s="38"/>
      <x:c r="C133" s="38"/>
      <x:c r="D133" s="38"/>
      <x:c r="E133" s="263" t="str">
        <x:f>IF(B133="","",J133)</x:f>
      </x:c>
      <x:c r="F133" s="144"/>
      <x:c r="G133" s="144"/>
      <x:c r="H133" s="138"/>
      <x:c r="I133" s="38"/>
      <x:c r="J133" s="263" t="str">
        <x:f>IF(B133="","",MAX(0,O133+F133-G133))</x:f>
      </x:c>
      <x:c r="K133" s="144"/>
      <x:c r="L133" s="144"/>
      <x:c r="M133" s="138"/>
      <x:c r="N133" s="38"/>
      <x:c r="O133" s="263" t="str">
        <x:f>IF(B133="","",MAX(0,T133+K133-L133))</x:f>
      </x:c>
      <x:c r="P133" s="144"/>
      <x:c r="Q133" s="144"/>
      <x:c r="R133" s="138"/>
      <x:c r="S133" s="38"/>
      <x:c r="T133" s="263" t="str">
        <x:f>IF(B133="","",MAX(0,P133-Q133))</x:f>
      </x:c>
      <x:c r="U133" s="144"/>
      <x:c r="V133" s="144"/>
      <x:c r="W133" s="138"/>
      <x:c r="X133" s="263" t="str">
        <x:f>IF(B133="","",MAX(0,U133-V133))</x:f>
      </x:c>
      <x:c r="Y133" s="257" t="str">
        <x:f>IF(B133="","",IF(E133&lt;=0,0,IF(T133&gt;0,3,IF(O133&gt;0,2,1))))</x:f>
      </x:c>
      <x:c r="Z133" s="1"/>
      <x:c r="AA133" s="1"/>
      <x:c r="AB133" s="1"/>
      <x:c r="AC133" s="1"/>
      <x:c r="AD133" s="1"/>
      <x:c r="AE133" s="1"/>
    </x:row>
    <x:row r="134" ht="18" customHeight="1">
      <x:c r="A134" s="38"/>
      <x:c r="B134" s="38"/>
      <x:c r="C134" s="38"/>
      <x:c r="D134" s="38"/>
      <x:c r="E134" s="263" t="str">
        <x:f>IF(B134="","",J134)</x:f>
      </x:c>
      <x:c r="F134" s="144"/>
      <x:c r="G134" s="144"/>
      <x:c r="H134" s="138"/>
      <x:c r="I134" s="38"/>
      <x:c r="J134" s="263" t="str">
        <x:f>IF(B134="","",MAX(0,O134+F134-G134))</x:f>
      </x:c>
      <x:c r="K134" s="144"/>
      <x:c r="L134" s="144"/>
      <x:c r="M134" s="138"/>
      <x:c r="N134" s="38"/>
      <x:c r="O134" s="263" t="str">
        <x:f>IF(B134="","",MAX(0,T134+K134-L134))</x:f>
      </x:c>
      <x:c r="P134" s="144"/>
      <x:c r="Q134" s="144"/>
      <x:c r="R134" s="138"/>
      <x:c r="S134" s="38"/>
      <x:c r="T134" s="263" t="str">
        <x:f>IF(B134="","",MAX(0,P134-Q134))</x:f>
      </x:c>
      <x:c r="U134" s="144"/>
      <x:c r="V134" s="144"/>
      <x:c r="W134" s="138"/>
      <x:c r="X134" s="263" t="str">
        <x:f>IF(B134="","",MAX(0,U134-V134))</x:f>
      </x:c>
      <x:c r="Y134" s="257" t="str">
        <x:f>IF(B134="","",IF(E134&lt;=0,0,IF(T134&gt;0,3,IF(O134&gt;0,2,1))))</x:f>
      </x:c>
      <x:c r="Z134" s="1"/>
      <x:c r="AA134" s="1"/>
      <x:c r="AB134" s="1"/>
      <x:c r="AC134" s="1"/>
      <x:c r="AD134" s="1"/>
      <x:c r="AE134" s="1"/>
    </x:row>
    <x:row r="135" ht="18" customHeight="1">
      <x:c r="A135" s="38"/>
      <x:c r="B135" s="38"/>
      <x:c r="C135" s="38"/>
      <x:c r="D135" s="38"/>
      <x:c r="E135" s="263" t="str">
        <x:f>IF(B135="","",J135)</x:f>
      </x:c>
      <x:c r="F135" s="144"/>
      <x:c r="G135" s="144"/>
      <x:c r="H135" s="138"/>
      <x:c r="I135" s="38"/>
      <x:c r="J135" s="263" t="str">
        <x:f>IF(B135="","",MAX(0,O135+F135-G135))</x:f>
      </x:c>
      <x:c r="K135" s="144"/>
      <x:c r="L135" s="144"/>
      <x:c r="M135" s="138"/>
      <x:c r="N135" s="38"/>
      <x:c r="O135" s="263" t="str">
        <x:f>IF(B135="","",MAX(0,T135+K135-L135))</x:f>
      </x:c>
      <x:c r="P135" s="144"/>
      <x:c r="Q135" s="144"/>
      <x:c r="R135" s="138"/>
      <x:c r="S135" s="38"/>
      <x:c r="T135" s="263" t="str">
        <x:f>IF(B135="","",MAX(0,P135-Q135))</x:f>
      </x:c>
      <x:c r="U135" s="144"/>
      <x:c r="V135" s="144"/>
      <x:c r="W135" s="138"/>
      <x:c r="X135" s="263" t="str">
        <x:f>IF(B135="","",MAX(0,U135-V135))</x:f>
      </x:c>
      <x:c r="Y135" s="257" t="str">
        <x:f>IF(B135="","",IF(E135&lt;=0,0,IF(T135&gt;0,3,IF(O135&gt;0,2,1))))</x:f>
      </x:c>
      <x:c r="Z135" s="1"/>
      <x:c r="AA135" s="1"/>
      <x:c r="AB135" s="1"/>
      <x:c r="AC135" s="1"/>
      <x:c r="AD135" s="1"/>
      <x:c r="AE135" s="1"/>
    </x:row>
    <x:row r="136" ht="18" customHeight="1">
      <x:c r="A136" s="38"/>
      <x:c r="B136" s="38"/>
      <x:c r="C136" s="38"/>
      <x:c r="D136" s="38"/>
      <x:c r="E136" s="263" t="str">
        <x:f>IF(B136="","",J136)</x:f>
      </x:c>
      <x:c r="F136" s="144"/>
      <x:c r="G136" s="144"/>
      <x:c r="H136" s="138"/>
      <x:c r="I136" s="38"/>
      <x:c r="J136" s="263" t="str">
        <x:f>IF(B136="","",MAX(0,O136+F136-G136))</x:f>
      </x:c>
      <x:c r="K136" s="144"/>
      <x:c r="L136" s="144"/>
      <x:c r="M136" s="138"/>
      <x:c r="N136" s="38"/>
      <x:c r="O136" s="263" t="str">
        <x:f>IF(B136="","",MAX(0,T136+K136-L136))</x:f>
      </x:c>
      <x:c r="P136" s="144"/>
      <x:c r="Q136" s="144"/>
      <x:c r="R136" s="138"/>
      <x:c r="S136" s="38"/>
      <x:c r="T136" s="263" t="str">
        <x:f>IF(B136="","",MAX(0,P136-Q136))</x:f>
      </x:c>
      <x:c r="U136" s="144"/>
      <x:c r="V136" s="144"/>
      <x:c r="W136" s="138"/>
      <x:c r="X136" s="263" t="str">
        <x:f>IF(B136="","",MAX(0,U136-V136))</x:f>
      </x:c>
      <x:c r="Y136" s="257" t="str">
        <x:f>IF(B136="","",IF(E136&lt;=0,0,IF(T136&gt;0,3,IF(O136&gt;0,2,1))))</x:f>
      </x:c>
      <x:c r="Z136" s="1"/>
      <x:c r="AA136" s="1"/>
      <x:c r="AB136" s="1"/>
      <x:c r="AC136" s="1"/>
      <x:c r="AD136" s="1"/>
      <x:c r="AE136" s="1"/>
    </x:row>
    <x:row r="137" ht="18" customHeight="1">
      <x:c r="A137" s="38"/>
      <x:c r="B137" s="38"/>
      <x:c r="C137" s="38"/>
      <x:c r="D137" s="38"/>
      <x:c r="E137" s="263" t="str">
        <x:f>IF(B137="","",J137)</x:f>
      </x:c>
      <x:c r="F137" s="144"/>
      <x:c r="G137" s="144"/>
      <x:c r="H137" s="138"/>
      <x:c r="I137" s="38"/>
      <x:c r="J137" s="263" t="str">
        <x:f>IF(B137="","",MAX(0,O137+F137-G137))</x:f>
      </x:c>
      <x:c r="K137" s="144"/>
      <x:c r="L137" s="144"/>
      <x:c r="M137" s="138"/>
      <x:c r="N137" s="38"/>
      <x:c r="O137" s="263" t="str">
        <x:f>IF(B137="","",MAX(0,T137+K137-L137))</x:f>
      </x:c>
      <x:c r="P137" s="144"/>
      <x:c r="Q137" s="144"/>
      <x:c r="R137" s="138"/>
      <x:c r="S137" s="38"/>
      <x:c r="T137" s="263" t="str">
        <x:f>IF(B137="","",MAX(0,P137-Q137))</x:f>
      </x:c>
      <x:c r="U137" s="144"/>
      <x:c r="V137" s="144"/>
      <x:c r="W137" s="138"/>
      <x:c r="X137" s="263" t="str">
        <x:f>IF(B137="","",MAX(0,U137-V137))</x:f>
      </x:c>
      <x:c r="Y137" s="257" t="str">
        <x:f>IF(B137="","",IF(E137&lt;=0,0,IF(T137&gt;0,3,IF(O137&gt;0,2,1))))</x:f>
      </x:c>
      <x:c r="Z137" s="1"/>
      <x:c r="AA137" s="1"/>
      <x:c r="AB137" s="1"/>
      <x:c r="AC137" s="1"/>
      <x:c r="AD137" s="1"/>
      <x:c r="AE137" s="1"/>
    </x:row>
    <x:row r="138" ht="18" customHeight="1">
      <x:c r="A138" s="38"/>
      <x:c r="B138" s="38"/>
      <x:c r="C138" s="38"/>
      <x:c r="D138" s="38"/>
      <x:c r="E138" s="263" t="str">
        <x:f>IF(B138="","",J138)</x:f>
      </x:c>
      <x:c r="F138" s="144"/>
      <x:c r="G138" s="144"/>
      <x:c r="H138" s="138"/>
      <x:c r="I138" s="38"/>
      <x:c r="J138" s="263" t="str">
        <x:f>IF(B138="","",MAX(0,O138+F138-G138))</x:f>
      </x:c>
      <x:c r="K138" s="144"/>
      <x:c r="L138" s="144"/>
      <x:c r="M138" s="138"/>
      <x:c r="N138" s="38"/>
      <x:c r="O138" s="263" t="str">
        <x:f>IF(B138="","",MAX(0,T138+K138-L138))</x:f>
      </x:c>
      <x:c r="P138" s="144"/>
      <x:c r="Q138" s="144"/>
      <x:c r="R138" s="138"/>
      <x:c r="S138" s="38"/>
      <x:c r="T138" s="263" t="str">
        <x:f>IF(B138="","",MAX(0,P138-Q138))</x:f>
      </x:c>
      <x:c r="U138" s="144"/>
      <x:c r="V138" s="144"/>
      <x:c r="W138" s="138"/>
      <x:c r="X138" s="263" t="str">
        <x:f>IF(B138="","",MAX(0,U138-V138))</x:f>
      </x:c>
      <x:c r="Y138" s="257" t="str">
        <x:f>IF(B138="","",IF(E138&lt;=0,0,IF(T138&gt;0,3,IF(O138&gt;0,2,1))))</x:f>
      </x:c>
      <x:c r="Z138" s="1"/>
      <x:c r="AA138" s="1"/>
      <x:c r="AB138" s="1"/>
      <x:c r="AC138" s="1"/>
      <x:c r="AD138" s="1"/>
      <x:c r="AE138" s="1"/>
    </x:row>
    <x:row r="139" ht="18" customHeight="1">
      <x:c r="A139" s="38"/>
      <x:c r="B139" s="38"/>
      <x:c r="C139" s="38"/>
      <x:c r="D139" s="38"/>
      <x:c r="E139" s="263" t="str">
        <x:f>IF(B139="","",J139)</x:f>
      </x:c>
      <x:c r="F139" s="144"/>
      <x:c r="G139" s="144"/>
      <x:c r="H139" s="138"/>
      <x:c r="I139" s="38"/>
      <x:c r="J139" s="263" t="str">
        <x:f>IF(B139="","",MAX(0,O139+F139-G139))</x:f>
      </x:c>
      <x:c r="K139" s="144"/>
      <x:c r="L139" s="144"/>
      <x:c r="M139" s="138"/>
      <x:c r="N139" s="38"/>
      <x:c r="O139" s="263" t="str">
        <x:f>IF(B139="","",MAX(0,T139+K139-L139))</x:f>
      </x:c>
      <x:c r="P139" s="144"/>
      <x:c r="Q139" s="144"/>
      <x:c r="R139" s="138"/>
      <x:c r="S139" s="38"/>
      <x:c r="T139" s="263" t="str">
        <x:f>IF(B139="","",MAX(0,P139-Q139))</x:f>
      </x:c>
      <x:c r="U139" s="144"/>
      <x:c r="V139" s="144"/>
      <x:c r="W139" s="138"/>
      <x:c r="X139" s="263" t="str">
        <x:f>IF(B139="","",MAX(0,U139-V139))</x:f>
      </x:c>
      <x:c r="Y139" s="257" t="str">
        <x:f>IF(B139="","",IF(E139&lt;=0,0,IF(T139&gt;0,3,IF(O139&gt;0,2,1))))</x:f>
      </x:c>
      <x:c r="Z139" s="1"/>
      <x:c r="AA139" s="1"/>
      <x:c r="AB139" s="1"/>
      <x:c r="AC139" s="1"/>
      <x:c r="AD139" s="1"/>
      <x:c r="AE139" s="1"/>
    </x:row>
    <x:row r="140" ht="18" customHeight="1">
      <x:c r="A140" s="38"/>
      <x:c r="B140" s="38"/>
      <x:c r="C140" s="38"/>
      <x:c r="D140" s="38"/>
      <x:c r="E140" s="263" t="str">
        <x:f>IF(B140="","",J140)</x:f>
      </x:c>
      <x:c r="F140" s="144"/>
      <x:c r="G140" s="144"/>
      <x:c r="H140" s="138"/>
      <x:c r="I140" s="38"/>
      <x:c r="J140" s="263" t="str">
        <x:f>IF(B140="","",MAX(0,O140+F140-G140))</x:f>
      </x:c>
      <x:c r="K140" s="144"/>
      <x:c r="L140" s="144"/>
      <x:c r="M140" s="138"/>
      <x:c r="N140" s="38"/>
      <x:c r="O140" s="263" t="str">
        <x:f>IF(B140="","",MAX(0,T140+K140-L140))</x:f>
      </x:c>
      <x:c r="P140" s="144"/>
      <x:c r="Q140" s="144"/>
      <x:c r="R140" s="138"/>
      <x:c r="S140" s="38"/>
      <x:c r="T140" s="263" t="str">
        <x:f>IF(B140="","",MAX(0,P140-Q140))</x:f>
      </x:c>
      <x:c r="U140" s="144"/>
      <x:c r="V140" s="144"/>
      <x:c r="W140" s="138"/>
      <x:c r="X140" s="263" t="str">
        <x:f>IF(B140="","",MAX(0,U140-V140))</x:f>
      </x:c>
      <x:c r="Y140" s="257" t="str">
        <x:f>IF(B140="","",IF(E140&lt;=0,0,IF(T140&gt;0,3,IF(O140&gt;0,2,1))))</x:f>
      </x:c>
      <x:c r="Z140" s="1"/>
      <x:c r="AA140" s="1"/>
      <x:c r="AB140" s="1"/>
      <x:c r="AC140" s="1"/>
      <x:c r="AD140" s="1"/>
      <x:c r="AE140" s="1"/>
    </x:row>
    <x:row r="141" ht="18" customHeight="1">
      <x:c r="A141" s="38"/>
      <x:c r="B141" s="38"/>
      <x:c r="C141" s="38"/>
      <x:c r="D141" s="38"/>
      <x:c r="E141" s="263" t="str">
        <x:f>IF(B141="","",J141)</x:f>
      </x:c>
      <x:c r="F141" s="144"/>
      <x:c r="G141" s="144"/>
      <x:c r="H141" s="138"/>
      <x:c r="I141" s="38"/>
      <x:c r="J141" s="263" t="str">
        <x:f>IF(B141="","",MAX(0,O141+F141-G141))</x:f>
      </x:c>
      <x:c r="K141" s="144"/>
      <x:c r="L141" s="144"/>
      <x:c r="M141" s="138"/>
      <x:c r="N141" s="38"/>
      <x:c r="O141" s="263" t="str">
        <x:f>IF(B141="","",MAX(0,T141+K141-L141))</x:f>
      </x:c>
      <x:c r="P141" s="144"/>
      <x:c r="Q141" s="144"/>
      <x:c r="R141" s="138"/>
      <x:c r="S141" s="38"/>
      <x:c r="T141" s="263" t="str">
        <x:f>IF(B141="","",MAX(0,P141-Q141))</x:f>
      </x:c>
      <x:c r="U141" s="144"/>
      <x:c r="V141" s="144"/>
      <x:c r="W141" s="138"/>
      <x:c r="X141" s="263" t="str">
        <x:f>IF(B141="","",MAX(0,U141-V141))</x:f>
      </x:c>
      <x:c r="Y141" s="257" t="str">
        <x:f>IF(B141="","",IF(E141&lt;=0,0,IF(T141&gt;0,3,IF(O141&gt;0,2,1))))</x:f>
      </x:c>
      <x:c r="Z141" s="1"/>
      <x:c r="AA141" s="1"/>
      <x:c r="AB141" s="1"/>
      <x:c r="AC141" s="1"/>
      <x:c r="AD141" s="1"/>
      <x:c r="AE141" s="1"/>
    </x:row>
    <x:row r="142" ht="18" customHeight="1">
      <x:c r="A142" s="38"/>
      <x:c r="B142" s="38"/>
      <x:c r="C142" s="38"/>
      <x:c r="D142" s="38"/>
      <x:c r="E142" s="263" t="str">
        <x:f>IF(B142="","",J142)</x:f>
      </x:c>
      <x:c r="F142" s="144"/>
      <x:c r="G142" s="144"/>
      <x:c r="H142" s="138"/>
      <x:c r="I142" s="38"/>
      <x:c r="J142" s="263" t="str">
        <x:f>IF(B142="","",MAX(0,O142+F142-G142))</x:f>
      </x:c>
      <x:c r="K142" s="144"/>
      <x:c r="L142" s="144"/>
      <x:c r="M142" s="138"/>
      <x:c r="N142" s="38"/>
      <x:c r="O142" s="263" t="str">
        <x:f>IF(B142="","",MAX(0,T142+K142-L142))</x:f>
      </x:c>
      <x:c r="P142" s="144"/>
      <x:c r="Q142" s="144"/>
      <x:c r="R142" s="138"/>
      <x:c r="S142" s="38"/>
      <x:c r="T142" s="263" t="str">
        <x:f>IF(B142="","",MAX(0,P142-Q142))</x:f>
      </x:c>
      <x:c r="U142" s="144"/>
      <x:c r="V142" s="144"/>
      <x:c r="W142" s="138"/>
      <x:c r="X142" s="263" t="str">
        <x:f>IF(B142="","",MAX(0,U142-V142))</x:f>
      </x:c>
      <x:c r="Y142" s="257" t="str">
        <x:f>IF(B142="","",IF(E142&lt;=0,0,IF(T142&gt;0,3,IF(O142&gt;0,2,1))))</x:f>
      </x:c>
      <x:c r="Z142" s="1"/>
      <x:c r="AA142" s="1"/>
      <x:c r="AB142" s="1"/>
      <x:c r="AC142" s="1"/>
      <x:c r="AD142" s="1"/>
      <x:c r="AE142" s="1"/>
    </x:row>
    <x:row r="143" ht="18" customHeight="1">
      <x:c r="A143" s="38"/>
      <x:c r="B143" s="38"/>
      <x:c r="C143" s="38"/>
      <x:c r="D143" s="38"/>
      <x:c r="E143" s="263" t="str">
        <x:f>IF(B143="","",J143)</x:f>
      </x:c>
      <x:c r="F143" s="144"/>
      <x:c r="G143" s="144"/>
      <x:c r="H143" s="138"/>
      <x:c r="I143" s="38"/>
      <x:c r="J143" s="263" t="str">
        <x:f>IF(B143="","",MAX(0,O143+F143-G143))</x:f>
      </x:c>
      <x:c r="K143" s="144"/>
      <x:c r="L143" s="144"/>
      <x:c r="M143" s="138"/>
      <x:c r="N143" s="38"/>
      <x:c r="O143" s="263" t="str">
        <x:f>IF(B143="","",MAX(0,T143+K143-L143))</x:f>
      </x:c>
      <x:c r="P143" s="144"/>
      <x:c r="Q143" s="144"/>
      <x:c r="R143" s="138"/>
      <x:c r="S143" s="38"/>
      <x:c r="T143" s="263" t="str">
        <x:f>IF(B143="","",MAX(0,P143-Q143))</x:f>
      </x:c>
      <x:c r="U143" s="144"/>
      <x:c r="V143" s="144"/>
      <x:c r="W143" s="138"/>
      <x:c r="X143" s="263" t="str">
        <x:f>IF(B143="","",MAX(0,U143-V143))</x:f>
      </x:c>
      <x:c r="Y143" s="257" t="str">
        <x:f>IF(B143="","",IF(E143&lt;=0,0,IF(T143&gt;0,3,IF(O143&gt;0,2,1))))</x:f>
      </x:c>
      <x:c r="Z143" s="1"/>
      <x:c r="AA143" s="1"/>
      <x:c r="AB143" s="1"/>
      <x:c r="AC143" s="1"/>
      <x:c r="AD143" s="1"/>
      <x:c r="AE143" s="1"/>
    </x:row>
    <x:row r="144" ht="18" customHeight="1">
      <x:c r="A144" s="38"/>
      <x:c r="B144" s="38"/>
      <x:c r="C144" s="38"/>
      <x:c r="D144" s="38"/>
      <x:c r="E144" s="263" t="str">
        <x:f>IF(B144="","",J144)</x:f>
      </x:c>
      <x:c r="F144" s="144"/>
      <x:c r="G144" s="144"/>
      <x:c r="H144" s="138"/>
      <x:c r="I144" s="38"/>
      <x:c r="J144" s="263" t="str">
        <x:f>IF(B144="","",MAX(0,O144+F144-G144))</x:f>
      </x:c>
      <x:c r="K144" s="144"/>
      <x:c r="L144" s="144"/>
      <x:c r="M144" s="138"/>
      <x:c r="N144" s="38"/>
      <x:c r="O144" s="263" t="str">
        <x:f>IF(B144="","",MAX(0,T144+K144-L144))</x:f>
      </x:c>
      <x:c r="P144" s="144"/>
      <x:c r="Q144" s="144"/>
      <x:c r="R144" s="138"/>
      <x:c r="S144" s="38"/>
      <x:c r="T144" s="263" t="str">
        <x:f>IF(B144="","",MAX(0,P144-Q144))</x:f>
      </x:c>
      <x:c r="U144" s="144"/>
      <x:c r="V144" s="144"/>
      <x:c r="W144" s="138"/>
      <x:c r="X144" s="263" t="str">
        <x:f>IF(B144="","",MAX(0,U144-V144))</x:f>
      </x:c>
      <x:c r="Y144" s="257" t="str">
        <x:f>IF(B144="","",IF(E144&lt;=0,0,IF(T144&gt;0,3,IF(O144&gt;0,2,1))))</x:f>
      </x:c>
      <x:c r="Z144" s="1"/>
      <x:c r="AA144" s="1"/>
      <x:c r="AB144" s="1"/>
      <x:c r="AC144" s="1"/>
      <x:c r="AD144" s="1"/>
      <x:c r="AE144" s="1"/>
    </x:row>
    <x:row r="145" ht="18" customHeight="1">
      <x:c r="A145" s="38"/>
      <x:c r="B145" s="38"/>
      <x:c r="C145" s="38"/>
      <x:c r="D145" s="38"/>
      <x:c r="E145" s="263" t="str">
        <x:f>IF(B145="","",J145)</x:f>
      </x:c>
      <x:c r="F145" s="144"/>
      <x:c r="G145" s="144"/>
      <x:c r="H145" s="138"/>
      <x:c r="I145" s="38"/>
      <x:c r="J145" s="263" t="str">
        <x:f>IF(B145="","",MAX(0,O145+F145-G145))</x:f>
      </x:c>
      <x:c r="K145" s="144"/>
      <x:c r="L145" s="144"/>
      <x:c r="M145" s="138"/>
      <x:c r="N145" s="38"/>
      <x:c r="O145" s="263" t="str">
        <x:f>IF(B145="","",MAX(0,T145+K145-L145))</x:f>
      </x:c>
      <x:c r="P145" s="144"/>
      <x:c r="Q145" s="144"/>
      <x:c r="R145" s="138"/>
      <x:c r="S145" s="38"/>
      <x:c r="T145" s="263" t="str">
        <x:f>IF(B145="","",MAX(0,P145-Q145))</x:f>
      </x:c>
      <x:c r="U145" s="144"/>
      <x:c r="V145" s="144"/>
      <x:c r="W145" s="138"/>
      <x:c r="X145" s="263" t="str">
        <x:f>IF(B145="","",MAX(0,U145-V145))</x:f>
      </x:c>
      <x:c r="Y145" s="257" t="str">
        <x:f>IF(B145="","",IF(E145&lt;=0,0,IF(T145&gt;0,3,IF(O145&gt;0,2,1))))</x:f>
      </x:c>
      <x:c r="Z145" s="1"/>
      <x:c r="AA145" s="1"/>
      <x:c r="AB145" s="1"/>
      <x:c r="AC145" s="1"/>
      <x:c r="AD145" s="1"/>
      <x:c r="AE145" s="1"/>
    </x:row>
    <x:row r="146" ht="18" customHeight="1">
      <x:c r="A146" s="38"/>
      <x:c r="B146" s="38"/>
      <x:c r="C146" s="38"/>
      <x:c r="D146" s="38"/>
      <x:c r="E146" s="263" t="str">
        <x:f>IF(B146="","",J146)</x:f>
      </x:c>
      <x:c r="F146" s="144"/>
      <x:c r="G146" s="144"/>
      <x:c r="H146" s="138"/>
      <x:c r="I146" s="38"/>
      <x:c r="J146" s="263" t="str">
        <x:f>IF(B146="","",MAX(0,O146+F146-G146))</x:f>
      </x:c>
      <x:c r="K146" s="144"/>
      <x:c r="L146" s="144"/>
      <x:c r="M146" s="138"/>
      <x:c r="N146" s="38"/>
      <x:c r="O146" s="263" t="str">
        <x:f>IF(B146="","",MAX(0,T146+K146-L146))</x:f>
      </x:c>
      <x:c r="P146" s="144"/>
      <x:c r="Q146" s="144"/>
      <x:c r="R146" s="138"/>
      <x:c r="S146" s="38"/>
      <x:c r="T146" s="263" t="str">
        <x:f>IF(B146="","",MAX(0,P146-Q146))</x:f>
      </x:c>
      <x:c r="U146" s="144"/>
      <x:c r="V146" s="144"/>
      <x:c r="W146" s="138"/>
      <x:c r="X146" s="263" t="str">
        <x:f>IF(B146="","",MAX(0,U146-V146))</x:f>
      </x:c>
      <x:c r="Y146" s="257" t="str">
        <x:f>IF(B146="","",IF(E146&lt;=0,0,IF(T146&gt;0,3,IF(O146&gt;0,2,1))))</x:f>
      </x:c>
      <x:c r="Z146" s="1"/>
      <x:c r="AA146" s="1"/>
      <x:c r="AB146" s="1"/>
      <x:c r="AC146" s="1"/>
      <x:c r="AD146" s="1"/>
      <x:c r="AE146" s="1"/>
    </x:row>
    <x:row r="147" ht="18" customHeight="1">
      <x:c r="A147" s="38"/>
      <x:c r="B147" s="38"/>
      <x:c r="C147" s="38"/>
      <x:c r="D147" s="38"/>
      <x:c r="E147" s="263" t="str">
        <x:f>IF(B147="","",J147)</x:f>
      </x:c>
      <x:c r="F147" s="144"/>
      <x:c r="G147" s="144"/>
      <x:c r="H147" s="138"/>
      <x:c r="I147" s="38"/>
      <x:c r="J147" s="263" t="str">
        <x:f>IF(B147="","",MAX(0,O147+F147-G147))</x:f>
      </x:c>
      <x:c r="K147" s="144"/>
      <x:c r="L147" s="144"/>
      <x:c r="M147" s="138"/>
      <x:c r="N147" s="38"/>
      <x:c r="O147" s="263" t="str">
        <x:f>IF(B147="","",MAX(0,T147+K147-L147))</x:f>
      </x:c>
      <x:c r="P147" s="144"/>
      <x:c r="Q147" s="144"/>
      <x:c r="R147" s="138"/>
      <x:c r="S147" s="38"/>
      <x:c r="T147" s="263" t="str">
        <x:f>IF(B147="","",MAX(0,P147-Q147))</x:f>
      </x:c>
      <x:c r="U147" s="144"/>
      <x:c r="V147" s="144"/>
      <x:c r="W147" s="138"/>
      <x:c r="X147" s="263" t="str">
        <x:f>IF(B147="","",MAX(0,U147-V147))</x:f>
      </x:c>
      <x:c r="Y147" s="257" t="str">
        <x:f>IF(B147="","",IF(E147&lt;=0,0,IF(T147&gt;0,3,IF(O147&gt;0,2,1))))</x:f>
      </x:c>
      <x:c r="Z147" s="1"/>
      <x:c r="AA147" s="1"/>
      <x:c r="AB147" s="1"/>
      <x:c r="AC147" s="1"/>
      <x:c r="AD147" s="1"/>
      <x:c r="AE147" s="1"/>
    </x:row>
    <x:row r="148" ht="18" customHeight="1">
      <x:c r="A148" s="38"/>
      <x:c r="B148" s="38"/>
      <x:c r="C148" s="38"/>
      <x:c r="D148" s="38"/>
      <x:c r="E148" s="263" t="str">
        <x:f>IF(B148="","",J148)</x:f>
      </x:c>
      <x:c r="F148" s="144"/>
      <x:c r="G148" s="144"/>
      <x:c r="H148" s="138"/>
      <x:c r="I148" s="38"/>
      <x:c r="J148" s="263" t="str">
        <x:f>IF(B148="","",MAX(0,O148+F148-G148))</x:f>
      </x:c>
      <x:c r="K148" s="144"/>
      <x:c r="L148" s="144"/>
      <x:c r="M148" s="138"/>
      <x:c r="N148" s="38"/>
      <x:c r="O148" s="263" t="str">
        <x:f>IF(B148="","",MAX(0,T148+K148-L148))</x:f>
      </x:c>
      <x:c r="P148" s="144"/>
      <x:c r="Q148" s="144"/>
      <x:c r="R148" s="138"/>
      <x:c r="S148" s="38"/>
      <x:c r="T148" s="263" t="str">
        <x:f>IF(B148="","",MAX(0,P148-Q148))</x:f>
      </x:c>
      <x:c r="U148" s="144"/>
      <x:c r="V148" s="144"/>
      <x:c r="W148" s="138"/>
      <x:c r="X148" s="263" t="str">
        <x:f>IF(B148="","",MAX(0,U148-V148))</x:f>
      </x:c>
      <x:c r="Y148" s="257" t="str">
        <x:f>IF(B148="","",IF(E148&lt;=0,0,IF(T148&gt;0,3,IF(O148&gt;0,2,1))))</x:f>
      </x:c>
      <x:c r="Z148" s="1"/>
      <x:c r="AA148" s="1"/>
      <x:c r="AB148" s="1"/>
      <x:c r="AC148" s="1"/>
      <x:c r="AD148" s="1"/>
      <x:c r="AE148" s="1"/>
    </x:row>
    <x:row r="149" ht="18" customHeight="1">
      <x:c r="A149" s="38"/>
      <x:c r="B149" s="38"/>
      <x:c r="C149" s="38"/>
      <x:c r="D149" s="38"/>
      <x:c r="E149" s="263" t="str">
        <x:f>IF(B149="","",J149)</x:f>
      </x:c>
      <x:c r="F149" s="144"/>
      <x:c r="G149" s="144"/>
      <x:c r="H149" s="138"/>
      <x:c r="I149" s="38"/>
      <x:c r="J149" s="263" t="str">
        <x:f>IF(B149="","",MAX(0,O149+F149-G149))</x:f>
      </x:c>
      <x:c r="K149" s="144"/>
      <x:c r="L149" s="144"/>
      <x:c r="M149" s="138"/>
      <x:c r="N149" s="38"/>
      <x:c r="O149" s="263" t="str">
        <x:f>IF(B149="","",MAX(0,T149+K149-L149))</x:f>
      </x:c>
      <x:c r="P149" s="144"/>
      <x:c r="Q149" s="144"/>
      <x:c r="R149" s="138"/>
      <x:c r="S149" s="38"/>
      <x:c r="T149" s="263" t="str">
        <x:f>IF(B149="","",MAX(0,P149-Q149))</x:f>
      </x:c>
      <x:c r="U149" s="144"/>
      <x:c r="V149" s="144"/>
      <x:c r="W149" s="138"/>
      <x:c r="X149" s="263" t="str">
        <x:f>IF(B149="","",MAX(0,U149-V149))</x:f>
      </x:c>
      <x:c r="Y149" s="257" t="str">
        <x:f>IF(B149="","",IF(E149&lt;=0,0,IF(T149&gt;0,3,IF(O149&gt;0,2,1))))</x:f>
      </x:c>
      <x:c r="Z149" s="1"/>
      <x:c r="AA149" s="1"/>
      <x:c r="AB149" s="1"/>
      <x:c r="AC149" s="1"/>
      <x:c r="AD149" s="1"/>
      <x:c r="AE149" s="1"/>
    </x:row>
    <x:row r="150" ht="18" customHeight="1">
      <x:c r="A150" s="38"/>
      <x:c r="B150" s="38"/>
      <x:c r="C150" s="38"/>
      <x:c r="D150" s="38"/>
      <x:c r="E150" s="263" t="str">
        <x:f>IF(B150="","",J150)</x:f>
      </x:c>
      <x:c r="F150" s="144"/>
      <x:c r="G150" s="144"/>
      <x:c r="H150" s="138"/>
      <x:c r="I150" s="38"/>
      <x:c r="J150" s="263" t="str">
        <x:f>IF(B150="","",MAX(0,O150+F150-G150))</x:f>
      </x:c>
      <x:c r="K150" s="144"/>
      <x:c r="L150" s="144"/>
      <x:c r="M150" s="138"/>
      <x:c r="N150" s="38"/>
      <x:c r="O150" s="263" t="str">
        <x:f>IF(B150="","",MAX(0,T150+K150-L150))</x:f>
      </x:c>
      <x:c r="P150" s="144"/>
      <x:c r="Q150" s="144"/>
      <x:c r="R150" s="138"/>
      <x:c r="S150" s="38"/>
      <x:c r="T150" s="263" t="str">
        <x:f>IF(B150="","",MAX(0,P150-Q150))</x:f>
      </x:c>
      <x:c r="U150" s="144"/>
      <x:c r="V150" s="144"/>
      <x:c r="W150" s="138"/>
      <x:c r="X150" s="263" t="str">
        <x:f>IF(B150="","",MAX(0,U150-V150))</x:f>
      </x:c>
      <x:c r="Y150" s="257" t="str">
        <x:f>IF(B150="","",IF(E150&lt;=0,0,IF(T150&gt;0,3,IF(O150&gt;0,2,1))))</x:f>
      </x:c>
      <x:c r="Z150" s="1"/>
      <x:c r="AA150" s="1"/>
      <x:c r="AB150" s="1"/>
      <x:c r="AC150" s="1"/>
      <x:c r="AD150" s="1"/>
      <x:c r="AE150" s="1"/>
    </x:row>
    <x:row r="151" ht="18" customHeight="1">
      <x:c r="A151" s="38"/>
      <x:c r="B151" s="38"/>
      <x:c r="C151" s="38"/>
      <x:c r="D151" s="38"/>
      <x:c r="E151" s="263" t="str">
        <x:f>IF(B151="","",J151)</x:f>
      </x:c>
      <x:c r="F151" s="144"/>
      <x:c r="G151" s="144"/>
      <x:c r="H151" s="138"/>
      <x:c r="I151" s="38"/>
      <x:c r="J151" s="263" t="str">
        <x:f>IF(B151="","",MAX(0,O151+F151-G151))</x:f>
      </x:c>
      <x:c r="K151" s="144"/>
      <x:c r="L151" s="144"/>
      <x:c r="M151" s="138"/>
      <x:c r="N151" s="38"/>
      <x:c r="O151" s="263" t="str">
        <x:f>IF(B151="","",MAX(0,T151+K151-L151))</x:f>
      </x:c>
      <x:c r="P151" s="144"/>
      <x:c r="Q151" s="144"/>
      <x:c r="R151" s="138"/>
      <x:c r="S151" s="38"/>
      <x:c r="T151" s="263" t="str">
        <x:f>IF(B151="","",MAX(0,P151-Q151))</x:f>
      </x:c>
      <x:c r="U151" s="144"/>
      <x:c r="V151" s="144"/>
      <x:c r="W151" s="138"/>
      <x:c r="X151" s="263" t="str">
        <x:f>IF(B151="","",MAX(0,U151-V151))</x:f>
      </x:c>
      <x:c r="Y151" s="257" t="str">
        <x:f>IF(B151="","",IF(E151&lt;=0,0,IF(T151&gt;0,3,IF(O151&gt;0,2,1))))</x:f>
      </x:c>
      <x:c r="Z151" s="1"/>
      <x:c r="AA151" s="1"/>
      <x:c r="AB151" s="1"/>
      <x:c r="AC151" s="1"/>
      <x:c r="AD151" s="1"/>
      <x:c r="AE151" s="1"/>
    </x:row>
    <x:row r="152" ht="18" customHeight="1">
      <x:c r="A152" s="38"/>
      <x:c r="B152" s="38"/>
      <x:c r="C152" s="38"/>
      <x:c r="D152" s="38"/>
      <x:c r="E152" s="263" t="str">
        <x:f>IF(B152="","",J152)</x:f>
      </x:c>
      <x:c r="F152" s="144"/>
      <x:c r="G152" s="144"/>
      <x:c r="H152" s="138"/>
      <x:c r="I152" s="38"/>
      <x:c r="J152" s="263" t="str">
        <x:f>IF(B152="","",MAX(0,O152+F152-G152))</x:f>
      </x:c>
      <x:c r="K152" s="144"/>
      <x:c r="L152" s="144"/>
      <x:c r="M152" s="138"/>
      <x:c r="N152" s="38"/>
      <x:c r="O152" s="263" t="str">
        <x:f>IF(B152="","",MAX(0,T152+K152-L152))</x:f>
      </x:c>
      <x:c r="P152" s="144"/>
      <x:c r="Q152" s="144"/>
      <x:c r="R152" s="138"/>
      <x:c r="S152" s="38"/>
      <x:c r="T152" s="263" t="str">
        <x:f>IF(B152="","",MAX(0,P152-Q152))</x:f>
      </x:c>
      <x:c r="U152" s="144"/>
      <x:c r="V152" s="144"/>
      <x:c r="W152" s="138"/>
      <x:c r="X152" s="263" t="str">
        <x:f>IF(B152="","",MAX(0,U152-V152))</x:f>
      </x:c>
      <x:c r="Y152" s="257" t="str">
        <x:f>IF(B152="","",IF(E152&lt;=0,0,IF(T152&gt;0,3,IF(O152&gt;0,2,1))))</x:f>
      </x:c>
      <x:c r="Z152" s="1"/>
      <x:c r="AA152" s="1"/>
      <x:c r="AB152" s="1"/>
      <x:c r="AC152" s="1"/>
      <x:c r="AD152" s="1"/>
      <x:c r="AE152" s="1"/>
    </x:row>
    <x:row r="153" ht="18" customHeight="1">
      <x:c r="A153" s="38"/>
      <x:c r="B153" s="38"/>
      <x:c r="C153" s="38"/>
      <x:c r="D153" s="38"/>
      <x:c r="E153" s="263" t="str">
        <x:f>IF(B153="","",J153)</x:f>
      </x:c>
      <x:c r="F153" s="144"/>
      <x:c r="G153" s="144"/>
      <x:c r="H153" s="138"/>
      <x:c r="I153" s="38"/>
      <x:c r="J153" s="263" t="str">
        <x:f>IF(B153="","",MAX(0,O153+F153-G153))</x:f>
      </x:c>
      <x:c r="K153" s="144"/>
      <x:c r="L153" s="144"/>
      <x:c r="M153" s="138"/>
      <x:c r="N153" s="38"/>
      <x:c r="O153" s="263" t="str">
        <x:f>IF(B153="","",MAX(0,T153+K153-L153))</x:f>
      </x:c>
      <x:c r="P153" s="144"/>
      <x:c r="Q153" s="144"/>
      <x:c r="R153" s="138"/>
      <x:c r="S153" s="38"/>
      <x:c r="T153" s="263" t="str">
        <x:f>IF(B153="","",MAX(0,P153-Q153))</x:f>
      </x:c>
      <x:c r="U153" s="144"/>
      <x:c r="V153" s="144"/>
      <x:c r="W153" s="138"/>
      <x:c r="X153" s="263" t="str">
        <x:f>IF(B153="","",MAX(0,U153-V153))</x:f>
      </x:c>
      <x:c r="Y153" s="257" t="str">
        <x:f>IF(B153="","",IF(E153&lt;=0,0,IF(T153&gt;0,3,IF(O153&gt;0,2,1))))</x:f>
      </x:c>
      <x:c r="Z153" s="1"/>
      <x:c r="AA153" s="1"/>
      <x:c r="AB153" s="1"/>
      <x:c r="AC153" s="1"/>
      <x:c r="AD153" s="1"/>
      <x:c r="AE153" s="1"/>
    </x:row>
    <x:row r="154" ht="18" customHeight="1">
      <x:c r="A154" s="38"/>
      <x:c r="B154" s="38"/>
      <x:c r="C154" s="38"/>
      <x:c r="D154" s="38"/>
      <x:c r="E154" s="263" t="str">
        <x:f>IF(B154="","",J154)</x:f>
      </x:c>
      <x:c r="F154" s="144"/>
      <x:c r="G154" s="144"/>
      <x:c r="H154" s="138"/>
      <x:c r="I154" s="38"/>
      <x:c r="J154" s="263" t="str">
        <x:f>IF(B154="","",MAX(0,O154+F154-G154))</x:f>
      </x:c>
      <x:c r="K154" s="144"/>
      <x:c r="L154" s="144"/>
      <x:c r="M154" s="138"/>
      <x:c r="N154" s="38"/>
      <x:c r="O154" s="263" t="str">
        <x:f>IF(B154="","",MAX(0,T154+K154-L154))</x:f>
      </x:c>
      <x:c r="P154" s="144"/>
      <x:c r="Q154" s="144"/>
      <x:c r="R154" s="138"/>
      <x:c r="S154" s="38"/>
      <x:c r="T154" s="263" t="str">
        <x:f>IF(B154="","",MAX(0,P154-Q154))</x:f>
      </x:c>
      <x:c r="U154" s="144"/>
      <x:c r="V154" s="144"/>
      <x:c r="W154" s="138"/>
      <x:c r="X154" s="263" t="str">
        <x:f>IF(B154="","",MAX(0,U154-V154))</x:f>
      </x:c>
      <x:c r="Y154" s="257" t="str">
        <x:f>IF(B154="","",IF(E154&lt;=0,0,IF(T154&gt;0,3,IF(O154&gt;0,2,1))))</x:f>
      </x:c>
      <x:c r="Z154" s="1"/>
      <x:c r="AA154" s="1"/>
      <x:c r="AB154" s="1"/>
      <x:c r="AC154" s="1"/>
      <x:c r="AD154" s="1"/>
      <x:c r="AE154" s="1"/>
    </x:row>
    <x:row r="155" ht="18" customHeight="1">
      <x:c r="A155" s="38"/>
      <x:c r="B155" s="38"/>
      <x:c r="C155" s="38"/>
      <x:c r="D155" s="38"/>
      <x:c r="E155" s="263" t="str">
        <x:f>IF(B155="","",J155)</x:f>
      </x:c>
      <x:c r="F155" s="144"/>
      <x:c r="G155" s="144"/>
      <x:c r="H155" s="138"/>
      <x:c r="I155" s="38"/>
      <x:c r="J155" s="263" t="str">
        <x:f>IF(B155="","",MAX(0,O155+F155-G155))</x:f>
      </x:c>
      <x:c r="K155" s="144"/>
      <x:c r="L155" s="144"/>
      <x:c r="M155" s="138"/>
      <x:c r="N155" s="38"/>
      <x:c r="O155" s="263" t="str">
        <x:f>IF(B155="","",MAX(0,T155+K155-L155))</x:f>
      </x:c>
      <x:c r="P155" s="144"/>
      <x:c r="Q155" s="144"/>
      <x:c r="R155" s="138"/>
      <x:c r="S155" s="38"/>
      <x:c r="T155" s="263" t="str">
        <x:f>IF(B155="","",MAX(0,P155-Q155))</x:f>
      </x:c>
      <x:c r="U155" s="144"/>
      <x:c r="V155" s="144"/>
      <x:c r="W155" s="138"/>
      <x:c r="X155" s="263" t="str">
        <x:f>IF(B155="","",MAX(0,U155-V155))</x:f>
      </x:c>
      <x:c r="Y155" s="257" t="str">
        <x:f>IF(B155="","",IF(E155&lt;=0,0,IF(T155&gt;0,3,IF(O155&gt;0,2,1))))</x:f>
      </x:c>
      <x:c r="Z155" s="1"/>
      <x:c r="AA155" s="1"/>
      <x:c r="AB155" s="1"/>
      <x:c r="AC155" s="1"/>
      <x:c r="AD155" s="1"/>
      <x:c r="AE155" s="1"/>
    </x:row>
    <x:row r="156" ht="18" customHeight="1">
      <x:c r="A156" s="38"/>
      <x:c r="B156" s="38"/>
      <x:c r="C156" s="38"/>
      <x:c r="D156" s="38"/>
      <x:c r="E156" s="263" t="str">
        <x:f>IF(B156="","",J156)</x:f>
      </x:c>
      <x:c r="F156" s="144"/>
      <x:c r="G156" s="144"/>
      <x:c r="H156" s="138"/>
      <x:c r="I156" s="38"/>
      <x:c r="J156" s="263" t="str">
        <x:f>IF(B156="","",MAX(0,O156+F156-G156))</x:f>
      </x:c>
      <x:c r="K156" s="144"/>
      <x:c r="L156" s="144"/>
      <x:c r="M156" s="138"/>
      <x:c r="N156" s="38"/>
      <x:c r="O156" s="263" t="str">
        <x:f>IF(B156="","",MAX(0,T156+K156-L156))</x:f>
      </x:c>
      <x:c r="P156" s="144"/>
      <x:c r="Q156" s="144"/>
      <x:c r="R156" s="138"/>
      <x:c r="S156" s="38"/>
      <x:c r="T156" s="263" t="str">
        <x:f>IF(B156="","",MAX(0,P156-Q156))</x:f>
      </x:c>
      <x:c r="U156" s="144"/>
      <x:c r="V156" s="144"/>
      <x:c r="W156" s="138"/>
      <x:c r="X156" s="263" t="str">
        <x:f>IF(B156="","",MAX(0,U156-V156))</x:f>
      </x:c>
      <x:c r="Y156" s="257" t="str">
        <x:f>IF(B156="","",IF(E156&lt;=0,0,IF(T156&gt;0,3,IF(O156&gt;0,2,1))))</x:f>
      </x:c>
      <x:c r="Z156" s="1"/>
      <x:c r="AA156" s="1"/>
      <x:c r="AB156" s="1"/>
      <x:c r="AC156" s="1"/>
      <x:c r="AD156" s="1"/>
      <x:c r="AE156" s="1"/>
    </x:row>
    <x:row r="157" ht="18" customHeight="1">
      <x:c r="A157" s="38"/>
      <x:c r="B157" s="38"/>
      <x:c r="C157" s="38"/>
      <x:c r="D157" s="38"/>
      <x:c r="E157" s="263" t="str">
        <x:f>IF(B157="","",J157)</x:f>
      </x:c>
      <x:c r="F157" s="144"/>
      <x:c r="G157" s="144"/>
      <x:c r="H157" s="138"/>
      <x:c r="I157" s="38"/>
      <x:c r="J157" s="263" t="str">
        <x:f>IF(B157="","",MAX(0,O157+F157-G157))</x:f>
      </x:c>
      <x:c r="K157" s="144"/>
      <x:c r="L157" s="144"/>
      <x:c r="M157" s="138"/>
      <x:c r="N157" s="38"/>
      <x:c r="O157" s="263" t="str">
        <x:f>IF(B157="","",MAX(0,T157+K157-L157))</x:f>
      </x:c>
      <x:c r="P157" s="144"/>
      <x:c r="Q157" s="144"/>
      <x:c r="R157" s="138"/>
      <x:c r="S157" s="38"/>
      <x:c r="T157" s="263" t="str">
        <x:f>IF(B157="","",MAX(0,P157-Q157))</x:f>
      </x:c>
      <x:c r="U157" s="144"/>
      <x:c r="V157" s="144"/>
      <x:c r="W157" s="138"/>
      <x:c r="X157" s="263" t="str">
        <x:f>IF(B157="","",MAX(0,U157-V157))</x:f>
      </x:c>
      <x:c r="Y157" s="257" t="str">
        <x:f>IF(B157="","",IF(E157&lt;=0,0,IF(T157&gt;0,3,IF(O157&gt;0,2,1))))</x:f>
      </x:c>
      <x:c r="Z157" s="1"/>
      <x:c r="AA157" s="1"/>
      <x:c r="AB157" s="1"/>
      <x:c r="AC157" s="1"/>
      <x:c r="AD157" s="1"/>
      <x:c r="AE157" s="1"/>
    </x:row>
    <x:row r="158" ht="18" customHeight="1">
      <x:c r="A158" s="38"/>
      <x:c r="B158" s="38"/>
      <x:c r="C158" s="38"/>
      <x:c r="D158" s="38"/>
      <x:c r="E158" s="263" t="str">
        <x:f>IF(B158="","",J158)</x:f>
      </x:c>
      <x:c r="F158" s="144"/>
      <x:c r="G158" s="144"/>
      <x:c r="H158" s="138"/>
      <x:c r="I158" s="38"/>
      <x:c r="J158" s="263" t="str">
        <x:f>IF(B158="","",MAX(0,O158+F158-G158))</x:f>
      </x:c>
      <x:c r="K158" s="144"/>
      <x:c r="L158" s="144"/>
      <x:c r="M158" s="138"/>
      <x:c r="N158" s="38"/>
      <x:c r="O158" s="263" t="str">
        <x:f>IF(B158="","",MAX(0,T158+K158-L158))</x:f>
      </x:c>
      <x:c r="P158" s="144"/>
      <x:c r="Q158" s="144"/>
      <x:c r="R158" s="138"/>
      <x:c r="S158" s="38"/>
      <x:c r="T158" s="263" t="str">
        <x:f>IF(B158="","",MAX(0,P158-Q158))</x:f>
      </x:c>
      <x:c r="U158" s="144"/>
      <x:c r="V158" s="144"/>
      <x:c r="W158" s="138"/>
      <x:c r="X158" s="263" t="str">
        <x:f>IF(B158="","",MAX(0,U158-V158))</x:f>
      </x:c>
      <x:c r="Y158" s="257" t="str">
        <x:f>IF(B158="","",IF(E158&lt;=0,0,IF(T158&gt;0,3,IF(O158&gt;0,2,1))))</x:f>
      </x:c>
      <x:c r="Z158" s="1"/>
      <x:c r="AA158" s="1"/>
      <x:c r="AB158" s="1"/>
      <x:c r="AC158" s="1"/>
      <x:c r="AD158" s="1"/>
      <x:c r="AE158" s="1"/>
    </x:row>
    <x:row r="159" ht="18" customHeight="1">
      <x:c r="A159" s="38"/>
      <x:c r="B159" s="38"/>
      <x:c r="C159" s="38"/>
      <x:c r="D159" s="38"/>
      <x:c r="E159" s="263" t="str">
        <x:f>IF(B159="","",J159)</x:f>
      </x:c>
      <x:c r="F159" s="144"/>
      <x:c r="G159" s="144"/>
      <x:c r="H159" s="138"/>
      <x:c r="I159" s="38"/>
      <x:c r="J159" s="263" t="str">
        <x:f>IF(B159="","",MAX(0,O159+F159-G159))</x:f>
      </x:c>
      <x:c r="K159" s="144"/>
      <x:c r="L159" s="144"/>
      <x:c r="M159" s="138"/>
      <x:c r="N159" s="38"/>
      <x:c r="O159" s="263" t="str">
        <x:f>IF(B159="","",MAX(0,T159+K159-L159))</x:f>
      </x:c>
      <x:c r="P159" s="144"/>
      <x:c r="Q159" s="144"/>
      <x:c r="R159" s="138"/>
      <x:c r="S159" s="38"/>
      <x:c r="T159" s="263" t="str">
        <x:f>IF(B159="","",MAX(0,P159-Q159))</x:f>
      </x:c>
      <x:c r="U159" s="144"/>
      <x:c r="V159" s="144"/>
      <x:c r="W159" s="138"/>
      <x:c r="X159" s="263" t="str">
        <x:f>IF(B159="","",MAX(0,U159-V159))</x:f>
      </x:c>
      <x:c r="Y159" s="257" t="str">
        <x:f>IF(B159="","",IF(E159&lt;=0,0,IF(T159&gt;0,3,IF(O159&gt;0,2,1))))</x:f>
      </x:c>
      <x:c r="Z159" s="1"/>
      <x:c r="AA159" s="1"/>
      <x:c r="AB159" s="1"/>
      <x:c r="AC159" s="1"/>
      <x:c r="AD159" s="1"/>
      <x:c r="AE159" s="1"/>
    </x:row>
    <x:row r="160" ht="18" customHeight="1">
      <x:c r="A160" s="38"/>
      <x:c r="B160" s="38"/>
      <x:c r="C160" s="38"/>
      <x:c r="D160" s="38"/>
      <x:c r="E160" s="263" t="str">
        <x:f>IF(B160="","",J160)</x:f>
      </x:c>
      <x:c r="F160" s="144"/>
      <x:c r="G160" s="144"/>
      <x:c r="H160" s="138"/>
      <x:c r="I160" s="38"/>
      <x:c r="J160" s="263" t="str">
        <x:f>IF(B160="","",MAX(0,O160+F160-G160))</x:f>
      </x:c>
      <x:c r="K160" s="144"/>
      <x:c r="L160" s="144"/>
      <x:c r="M160" s="138"/>
      <x:c r="N160" s="38"/>
      <x:c r="O160" s="263" t="str">
        <x:f>IF(B160="","",MAX(0,T160+K160-L160))</x:f>
      </x:c>
      <x:c r="P160" s="144"/>
      <x:c r="Q160" s="144"/>
      <x:c r="R160" s="138"/>
      <x:c r="S160" s="38"/>
      <x:c r="T160" s="263" t="str">
        <x:f>IF(B160="","",MAX(0,P160-Q160))</x:f>
      </x:c>
      <x:c r="U160" s="144"/>
      <x:c r="V160" s="144"/>
      <x:c r="W160" s="138"/>
      <x:c r="X160" s="263" t="str">
        <x:f>IF(B160="","",MAX(0,U160-V160))</x:f>
      </x:c>
      <x:c r="Y160" s="257" t="str">
        <x:f>IF(B160="","",IF(E160&lt;=0,0,IF(T160&gt;0,3,IF(O160&gt;0,2,1))))</x:f>
      </x:c>
      <x:c r="Z160" s="1"/>
      <x:c r="AA160" s="1"/>
      <x:c r="AB160" s="1"/>
      <x:c r="AC160" s="1"/>
      <x:c r="AD160" s="1"/>
      <x:c r="AE160" s="1"/>
    </x:row>
    <x:row r="161" ht="18" customHeight="1">
      <x:c r="A161" s="38"/>
      <x:c r="B161" s="38"/>
      <x:c r="C161" s="38"/>
      <x:c r="D161" s="38"/>
      <x:c r="E161" s="263" t="str">
        <x:f>IF(B161="","",J161)</x:f>
      </x:c>
      <x:c r="F161" s="144"/>
      <x:c r="G161" s="144"/>
      <x:c r="H161" s="138"/>
      <x:c r="I161" s="38"/>
      <x:c r="J161" s="263" t="str">
        <x:f>IF(B161="","",MAX(0,O161+F161-G161))</x:f>
      </x:c>
      <x:c r="K161" s="144"/>
      <x:c r="L161" s="144"/>
      <x:c r="M161" s="138"/>
      <x:c r="N161" s="38"/>
      <x:c r="O161" s="263" t="str">
        <x:f>IF(B161="","",MAX(0,T161+K161-L161))</x:f>
      </x:c>
      <x:c r="P161" s="144"/>
      <x:c r="Q161" s="144"/>
      <x:c r="R161" s="138"/>
      <x:c r="S161" s="38"/>
      <x:c r="T161" s="263" t="str">
        <x:f>IF(B161="","",MAX(0,P161-Q161))</x:f>
      </x:c>
      <x:c r="U161" s="144"/>
      <x:c r="V161" s="144"/>
      <x:c r="W161" s="138"/>
      <x:c r="X161" s="263" t="str">
        <x:f>IF(B161="","",MAX(0,U161-V161))</x:f>
      </x:c>
      <x:c r="Y161" s="257" t="str">
        <x:f>IF(B161="","",IF(E161&lt;=0,0,IF(T161&gt;0,3,IF(O161&gt;0,2,1))))</x:f>
      </x:c>
      <x:c r="Z161" s="1"/>
      <x:c r="AA161" s="1"/>
      <x:c r="AB161" s="1"/>
      <x:c r="AC161" s="1"/>
      <x:c r="AD161" s="1"/>
      <x:c r="AE161" s="1"/>
    </x:row>
    <x:row r="162" ht="18" customHeight="1">
      <x:c r="A162" s="38"/>
      <x:c r="B162" s="38"/>
      <x:c r="C162" s="38"/>
      <x:c r="D162" s="38"/>
      <x:c r="E162" s="263" t="str">
        <x:f>IF(B162="","",J162)</x:f>
      </x:c>
      <x:c r="F162" s="144"/>
      <x:c r="G162" s="144"/>
      <x:c r="H162" s="138"/>
      <x:c r="I162" s="38"/>
      <x:c r="J162" s="263" t="str">
        <x:f>IF(B162="","",MAX(0,O162+F162-G162))</x:f>
      </x:c>
      <x:c r="K162" s="144"/>
      <x:c r="L162" s="144"/>
      <x:c r="M162" s="138"/>
      <x:c r="N162" s="38"/>
      <x:c r="O162" s="263" t="str">
        <x:f>IF(B162="","",MAX(0,T162+K162-L162))</x:f>
      </x:c>
      <x:c r="P162" s="144"/>
      <x:c r="Q162" s="144"/>
      <x:c r="R162" s="138"/>
      <x:c r="S162" s="38"/>
      <x:c r="T162" s="263" t="str">
        <x:f>IF(B162="","",MAX(0,P162-Q162))</x:f>
      </x:c>
      <x:c r="U162" s="144"/>
      <x:c r="V162" s="144"/>
      <x:c r="W162" s="138"/>
      <x:c r="X162" s="263" t="str">
        <x:f>IF(B162="","",MAX(0,U162-V162))</x:f>
      </x:c>
      <x:c r="Y162" s="257" t="str">
        <x:f>IF(B162="","",IF(E162&lt;=0,0,IF(T162&gt;0,3,IF(O162&gt;0,2,1))))</x:f>
      </x:c>
      <x:c r="Z162" s="1"/>
      <x:c r="AA162" s="1"/>
      <x:c r="AB162" s="1"/>
      <x:c r="AC162" s="1"/>
      <x:c r="AD162" s="1"/>
      <x:c r="AE162" s="1"/>
    </x:row>
    <x:row r="163" ht="18" customHeight="1">
      <x:c r="A163" s="38"/>
      <x:c r="B163" s="38"/>
      <x:c r="C163" s="38"/>
      <x:c r="D163" s="38"/>
      <x:c r="E163" s="263" t="str">
        <x:f>IF(B163="","",J163)</x:f>
      </x:c>
      <x:c r="F163" s="144"/>
      <x:c r="G163" s="144"/>
      <x:c r="H163" s="138"/>
      <x:c r="I163" s="38"/>
      <x:c r="J163" s="263" t="str">
        <x:f>IF(B163="","",MAX(0,O163+F163-G163))</x:f>
      </x:c>
      <x:c r="K163" s="144"/>
      <x:c r="L163" s="144"/>
      <x:c r="M163" s="138"/>
      <x:c r="N163" s="38"/>
      <x:c r="O163" s="263" t="str">
        <x:f>IF(B163="","",MAX(0,T163+K163-L163))</x:f>
      </x:c>
      <x:c r="P163" s="144"/>
      <x:c r="Q163" s="144"/>
      <x:c r="R163" s="138"/>
      <x:c r="S163" s="38"/>
      <x:c r="T163" s="263" t="str">
        <x:f>IF(B163="","",MAX(0,P163-Q163))</x:f>
      </x:c>
      <x:c r="U163" s="144"/>
      <x:c r="V163" s="144"/>
      <x:c r="W163" s="138"/>
      <x:c r="X163" s="263" t="str">
        <x:f>IF(B163="","",MAX(0,U163-V163))</x:f>
      </x:c>
      <x:c r="Y163" s="257" t="str">
        <x:f>IF(B163="","",IF(E163&lt;=0,0,IF(T163&gt;0,3,IF(O163&gt;0,2,1))))</x:f>
      </x:c>
      <x:c r="Z163" s="1"/>
      <x:c r="AA163" s="1"/>
      <x:c r="AB163" s="1"/>
      <x:c r="AC163" s="1"/>
      <x:c r="AD163" s="1"/>
      <x:c r="AE163" s="1"/>
    </x:row>
    <x:row r="164" ht="18" customHeight="1">
      <x:c r="A164" s="38"/>
      <x:c r="B164" s="38"/>
      <x:c r="C164" s="38"/>
      <x:c r="D164" s="38"/>
      <x:c r="E164" s="263" t="str">
        <x:f>IF(B164="","",J164)</x:f>
      </x:c>
      <x:c r="F164" s="144"/>
      <x:c r="G164" s="144"/>
      <x:c r="H164" s="138"/>
      <x:c r="I164" s="38"/>
      <x:c r="J164" s="263" t="str">
        <x:f>IF(B164="","",MAX(0,O164+F164-G164))</x:f>
      </x:c>
      <x:c r="K164" s="144"/>
      <x:c r="L164" s="144"/>
      <x:c r="M164" s="138"/>
      <x:c r="N164" s="38"/>
      <x:c r="O164" s="263" t="str">
        <x:f>IF(B164="","",MAX(0,T164+K164-L164))</x:f>
      </x:c>
      <x:c r="P164" s="144"/>
      <x:c r="Q164" s="144"/>
      <x:c r="R164" s="138"/>
      <x:c r="S164" s="38"/>
      <x:c r="T164" s="263" t="str">
        <x:f>IF(B164="","",MAX(0,P164-Q164))</x:f>
      </x:c>
      <x:c r="U164" s="144"/>
      <x:c r="V164" s="144"/>
      <x:c r="W164" s="138"/>
      <x:c r="X164" s="263" t="str">
        <x:f>IF(B164="","",MAX(0,U164-V164))</x:f>
      </x:c>
      <x:c r="Y164" s="257" t="str">
        <x:f>IF(B164="","",IF(E164&lt;=0,0,IF(T164&gt;0,3,IF(O164&gt;0,2,1))))</x:f>
      </x:c>
      <x:c r="Z164" s="1"/>
      <x:c r="AA164" s="1"/>
      <x:c r="AB164" s="1"/>
      <x:c r="AC164" s="1"/>
      <x:c r="AD164" s="1"/>
      <x:c r="AE164" s="1"/>
    </x:row>
    <x:row r="165" ht="18" customHeight="1">
      <x:c r="A165" s="38"/>
      <x:c r="B165" s="38"/>
      <x:c r="C165" s="38"/>
      <x:c r="D165" s="38"/>
      <x:c r="E165" s="263" t="str">
        <x:f>IF(B165="","",J165)</x:f>
      </x:c>
      <x:c r="F165" s="144"/>
      <x:c r="G165" s="144"/>
      <x:c r="H165" s="138"/>
      <x:c r="I165" s="38"/>
      <x:c r="J165" s="263" t="str">
        <x:f>IF(B165="","",MAX(0,O165+F165-G165))</x:f>
      </x:c>
      <x:c r="K165" s="144"/>
      <x:c r="L165" s="144"/>
      <x:c r="M165" s="138"/>
      <x:c r="N165" s="38"/>
      <x:c r="O165" s="263" t="str">
        <x:f>IF(B165="","",MAX(0,T165+K165-L165))</x:f>
      </x:c>
      <x:c r="P165" s="144"/>
      <x:c r="Q165" s="144"/>
      <x:c r="R165" s="138"/>
      <x:c r="S165" s="38"/>
      <x:c r="T165" s="263" t="str">
        <x:f>IF(B165="","",MAX(0,P165-Q165))</x:f>
      </x:c>
      <x:c r="U165" s="144"/>
      <x:c r="V165" s="144"/>
      <x:c r="W165" s="138"/>
      <x:c r="X165" s="263" t="str">
        <x:f>IF(B165="","",MAX(0,U165-V165))</x:f>
      </x:c>
      <x:c r="Y165" s="257" t="str">
        <x:f>IF(B165="","",IF(E165&lt;=0,0,IF(T165&gt;0,3,IF(O165&gt;0,2,1))))</x:f>
      </x:c>
      <x:c r="Z165" s="1"/>
      <x:c r="AA165" s="1"/>
      <x:c r="AB165" s="1"/>
      <x:c r="AC165" s="1"/>
      <x:c r="AD165" s="1"/>
      <x:c r="AE165" s="1"/>
    </x:row>
    <x:row r="166" ht="18" customHeight="1">
      <x:c r="A166" s="38"/>
      <x:c r="B166" s="38"/>
      <x:c r="C166" s="38"/>
      <x:c r="D166" s="38"/>
      <x:c r="E166" s="263" t="str">
        <x:f>IF(B166="","",J166)</x:f>
      </x:c>
      <x:c r="F166" s="144"/>
      <x:c r="G166" s="144"/>
      <x:c r="H166" s="138"/>
      <x:c r="I166" s="38"/>
      <x:c r="J166" s="263" t="str">
        <x:f>IF(B166="","",MAX(0,O166+F166-G166))</x:f>
      </x:c>
      <x:c r="K166" s="144"/>
      <x:c r="L166" s="144"/>
      <x:c r="M166" s="138"/>
      <x:c r="N166" s="38"/>
      <x:c r="O166" s="263" t="str">
        <x:f>IF(B166="","",MAX(0,T166+K166-L166))</x:f>
      </x:c>
      <x:c r="P166" s="144"/>
      <x:c r="Q166" s="144"/>
      <x:c r="R166" s="138"/>
      <x:c r="S166" s="38"/>
      <x:c r="T166" s="263" t="str">
        <x:f>IF(B166="","",MAX(0,P166-Q166))</x:f>
      </x:c>
      <x:c r="U166" s="144"/>
      <x:c r="V166" s="144"/>
      <x:c r="W166" s="138"/>
      <x:c r="X166" s="263" t="str">
        <x:f>IF(B166="","",MAX(0,U166-V166))</x:f>
      </x:c>
      <x:c r="Y166" s="257" t="str">
        <x:f>IF(B166="","",IF(E166&lt;=0,0,IF(T166&gt;0,3,IF(O166&gt;0,2,1))))</x:f>
      </x:c>
      <x:c r="Z166" s="1"/>
      <x:c r="AA166" s="1"/>
      <x:c r="AB166" s="1"/>
      <x:c r="AC166" s="1"/>
      <x:c r="AD166" s="1"/>
      <x:c r="AE166" s="1"/>
    </x:row>
    <x:row r="167" ht="18" customHeight="1">
      <x:c r="A167" s="38"/>
      <x:c r="B167" s="38"/>
      <x:c r="C167" s="38"/>
      <x:c r="D167" s="38"/>
      <x:c r="E167" s="263" t="str">
        <x:f>IF(B167="","",J167)</x:f>
      </x:c>
      <x:c r="F167" s="144"/>
      <x:c r="G167" s="144"/>
      <x:c r="H167" s="138"/>
      <x:c r="I167" s="38"/>
      <x:c r="J167" s="263" t="str">
        <x:f>IF(B167="","",MAX(0,O167+F167-G167))</x:f>
      </x:c>
      <x:c r="K167" s="144"/>
      <x:c r="L167" s="144"/>
      <x:c r="M167" s="138"/>
      <x:c r="N167" s="38"/>
      <x:c r="O167" s="263" t="str">
        <x:f>IF(B167="","",MAX(0,T167+K167-L167))</x:f>
      </x:c>
      <x:c r="P167" s="144"/>
      <x:c r="Q167" s="144"/>
      <x:c r="R167" s="138"/>
      <x:c r="S167" s="38"/>
      <x:c r="T167" s="263" t="str">
        <x:f>IF(B167="","",MAX(0,P167-Q167))</x:f>
      </x:c>
      <x:c r="U167" s="144"/>
      <x:c r="V167" s="144"/>
      <x:c r="W167" s="138"/>
      <x:c r="X167" s="263" t="str">
        <x:f>IF(B167="","",MAX(0,U167-V167))</x:f>
      </x:c>
      <x:c r="Y167" s="257" t="str">
        <x:f>IF(B167="","",IF(E167&lt;=0,0,IF(T167&gt;0,3,IF(O167&gt;0,2,1))))</x:f>
      </x:c>
      <x:c r="Z167" s="1"/>
      <x:c r="AA167" s="1"/>
      <x:c r="AB167" s="1"/>
      <x:c r="AC167" s="1"/>
      <x:c r="AD167" s="1"/>
      <x:c r="AE167" s="1"/>
    </x:row>
    <x:row r="168" ht="18" customHeight="1">
      <x:c r="A168" s="38"/>
      <x:c r="B168" s="38"/>
      <x:c r="C168" s="38"/>
      <x:c r="D168" s="38"/>
      <x:c r="E168" s="263" t="str">
        <x:f>IF(B168="","",J168)</x:f>
      </x:c>
      <x:c r="F168" s="144"/>
      <x:c r="G168" s="144"/>
      <x:c r="H168" s="138"/>
      <x:c r="I168" s="38"/>
      <x:c r="J168" s="263" t="str">
        <x:f>IF(B168="","",MAX(0,O168+F168-G168))</x:f>
      </x:c>
      <x:c r="K168" s="144"/>
      <x:c r="L168" s="144"/>
      <x:c r="M168" s="138"/>
      <x:c r="N168" s="38"/>
      <x:c r="O168" s="263" t="str">
        <x:f>IF(B168="","",MAX(0,T168+K168-L168))</x:f>
      </x:c>
      <x:c r="P168" s="144"/>
      <x:c r="Q168" s="144"/>
      <x:c r="R168" s="138"/>
      <x:c r="S168" s="38"/>
      <x:c r="T168" s="263" t="str">
        <x:f>IF(B168="","",MAX(0,P168-Q168))</x:f>
      </x:c>
      <x:c r="U168" s="144"/>
      <x:c r="V168" s="144"/>
      <x:c r="W168" s="138"/>
      <x:c r="X168" s="263" t="str">
        <x:f>IF(B168="","",MAX(0,U168-V168))</x:f>
      </x:c>
      <x:c r="Y168" s="257" t="str">
        <x:f>IF(B168="","",IF(E168&lt;=0,0,IF(T168&gt;0,3,IF(O168&gt;0,2,1))))</x:f>
      </x:c>
      <x:c r="Z168" s="1"/>
      <x:c r="AA168" s="1"/>
      <x:c r="AB168" s="1"/>
      <x:c r="AC168" s="1"/>
      <x:c r="AD168" s="1"/>
      <x:c r="AE168" s="1"/>
    </x:row>
    <x:row r="169" ht="18" customHeight="1">
      <x:c r="A169" s="38"/>
      <x:c r="B169" s="38"/>
      <x:c r="C169" s="38"/>
      <x:c r="D169" s="38"/>
      <x:c r="E169" s="263" t="str">
        <x:f>IF(B169="","",J169)</x:f>
      </x:c>
      <x:c r="F169" s="144"/>
      <x:c r="G169" s="144"/>
      <x:c r="H169" s="138"/>
      <x:c r="I169" s="38"/>
      <x:c r="J169" s="263" t="str">
        <x:f>IF(B169="","",MAX(0,O169+F169-G169))</x:f>
      </x:c>
      <x:c r="K169" s="144"/>
      <x:c r="L169" s="144"/>
      <x:c r="M169" s="138"/>
      <x:c r="N169" s="38"/>
      <x:c r="O169" s="263" t="str">
        <x:f>IF(B169="","",MAX(0,T169+K169-L169))</x:f>
      </x:c>
      <x:c r="P169" s="144"/>
      <x:c r="Q169" s="144"/>
      <x:c r="R169" s="138"/>
      <x:c r="S169" s="38"/>
      <x:c r="T169" s="263" t="str">
        <x:f>IF(B169="","",MAX(0,P169-Q169))</x:f>
      </x:c>
      <x:c r="U169" s="144"/>
      <x:c r="V169" s="144"/>
      <x:c r="W169" s="138"/>
      <x:c r="X169" s="263" t="str">
        <x:f>IF(B169="","",MAX(0,U169-V169))</x:f>
      </x:c>
      <x:c r="Y169" s="257" t="str">
        <x:f>IF(B169="","",IF(E169&lt;=0,0,IF(T169&gt;0,3,IF(O169&gt;0,2,1))))</x:f>
      </x:c>
      <x:c r="Z169" s="1"/>
      <x:c r="AA169" s="1"/>
      <x:c r="AB169" s="1"/>
      <x:c r="AC169" s="1"/>
      <x:c r="AD169" s="1"/>
      <x:c r="AE169" s="1"/>
    </x:row>
    <x:row r="170" ht="18" customHeight="1">
      <x:c r="A170" s="38"/>
      <x:c r="B170" s="38"/>
      <x:c r="C170" s="38"/>
      <x:c r="D170" s="38"/>
      <x:c r="E170" s="263" t="str">
        <x:f>IF(B170="","",J170)</x:f>
      </x:c>
      <x:c r="F170" s="144"/>
      <x:c r="G170" s="144"/>
      <x:c r="H170" s="138"/>
      <x:c r="I170" s="38"/>
      <x:c r="J170" s="263" t="str">
        <x:f>IF(B170="","",MAX(0,O170+F170-G170))</x:f>
      </x:c>
      <x:c r="K170" s="144"/>
      <x:c r="L170" s="144"/>
      <x:c r="M170" s="138"/>
      <x:c r="N170" s="38"/>
      <x:c r="O170" s="263" t="str">
        <x:f>IF(B170="","",MAX(0,T170+K170-L170))</x:f>
      </x:c>
      <x:c r="P170" s="144"/>
      <x:c r="Q170" s="144"/>
      <x:c r="R170" s="138"/>
      <x:c r="S170" s="38"/>
      <x:c r="T170" s="263" t="str">
        <x:f>IF(B170="","",MAX(0,P170-Q170))</x:f>
      </x:c>
      <x:c r="U170" s="144"/>
      <x:c r="V170" s="144"/>
      <x:c r="W170" s="138"/>
      <x:c r="X170" s="263" t="str">
        <x:f>IF(B170="","",MAX(0,U170-V170))</x:f>
      </x:c>
      <x:c r="Y170" s="257" t="str">
        <x:f>IF(B170="","",IF(E170&lt;=0,0,IF(T170&gt;0,3,IF(O170&gt;0,2,1))))</x:f>
      </x:c>
      <x:c r="Z170" s="1"/>
      <x:c r="AA170" s="1"/>
      <x:c r="AB170" s="1"/>
      <x:c r="AC170" s="1"/>
      <x:c r="AD170" s="1"/>
      <x:c r="AE170" s="1"/>
    </x:row>
    <x:row r="171" ht="18" customHeight="1">
      <x:c r="A171" s="38"/>
      <x:c r="B171" s="38"/>
      <x:c r="C171" s="38"/>
      <x:c r="D171" s="38"/>
      <x:c r="E171" s="263" t="str">
        <x:f>IF(B171="","",J171)</x:f>
      </x:c>
      <x:c r="F171" s="144"/>
      <x:c r="G171" s="144"/>
      <x:c r="H171" s="138"/>
      <x:c r="I171" s="38"/>
      <x:c r="J171" s="263" t="str">
        <x:f>IF(B171="","",MAX(0,O171+F171-G171))</x:f>
      </x:c>
      <x:c r="K171" s="144"/>
      <x:c r="L171" s="144"/>
      <x:c r="M171" s="138"/>
      <x:c r="N171" s="38"/>
      <x:c r="O171" s="263" t="str">
        <x:f>IF(B171="","",MAX(0,T171+K171-L171))</x:f>
      </x:c>
      <x:c r="P171" s="144"/>
      <x:c r="Q171" s="144"/>
      <x:c r="R171" s="138"/>
      <x:c r="S171" s="38"/>
      <x:c r="T171" s="263" t="str">
        <x:f>IF(B171="","",MAX(0,P171-Q171))</x:f>
      </x:c>
      <x:c r="U171" s="144"/>
      <x:c r="V171" s="144"/>
      <x:c r="W171" s="138"/>
      <x:c r="X171" s="263" t="str">
        <x:f>IF(B171="","",MAX(0,U171-V171))</x:f>
      </x:c>
      <x:c r="Y171" s="257" t="str">
        <x:f>IF(B171="","",IF(E171&lt;=0,0,IF(T171&gt;0,3,IF(O171&gt;0,2,1))))</x:f>
      </x:c>
      <x:c r="Z171" s="1"/>
      <x:c r="AA171" s="1"/>
      <x:c r="AB171" s="1"/>
      <x:c r="AC171" s="1"/>
      <x:c r="AD171" s="1"/>
      <x:c r="AE171" s="1"/>
    </x:row>
    <x:row r="172" ht="18" customHeight="1">
      <x:c r="A172" s="38"/>
      <x:c r="B172" s="38"/>
      <x:c r="C172" s="38"/>
      <x:c r="D172" s="38"/>
      <x:c r="E172" s="263" t="str">
        <x:f>IF(B172="","",J172)</x:f>
      </x:c>
      <x:c r="F172" s="144"/>
      <x:c r="G172" s="144"/>
      <x:c r="H172" s="138"/>
      <x:c r="I172" s="38"/>
      <x:c r="J172" s="263" t="str">
        <x:f>IF(B172="","",MAX(0,O172+F172-G172))</x:f>
      </x:c>
      <x:c r="K172" s="144"/>
      <x:c r="L172" s="144"/>
      <x:c r="M172" s="138"/>
      <x:c r="N172" s="38"/>
      <x:c r="O172" s="263" t="str">
        <x:f>IF(B172="","",MAX(0,T172+K172-L172))</x:f>
      </x:c>
      <x:c r="P172" s="144"/>
      <x:c r="Q172" s="144"/>
      <x:c r="R172" s="138"/>
      <x:c r="S172" s="38"/>
      <x:c r="T172" s="263" t="str">
        <x:f>IF(B172="","",MAX(0,P172-Q172))</x:f>
      </x:c>
      <x:c r="U172" s="144"/>
      <x:c r="V172" s="144"/>
      <x:c r="W172" s="138"/>
      <x:c r="X172" s="263" t="str">
        <x:f>IF(B172="","",MAX(0,U172-V172))</x:f>
      </x:c>
      <x:c r="Y172" s="257" t="str">
        <x:f>IF(B172="","",IF(E172&lt;=0,0,IF(T172&gt;0,3,IF(O172&gt;0,2,1))))</x:f>
      </x:c>
      <x:c r="Z172" s="1"/>
      <x:c r="AA172" s="1"/>
      <x:c r="AB172" s="1"/>
      <x:c r="AC172" s="1"/>
      <x:c r="AD172" s="1"/>
      <x:c r="AE172" s="1"/>
    </x:row>
    <x:row r="173" ht="18" customHeight="1">
      <x:c r="A173" s="38"/>
      <x:c r="B173" s="38"/>
      <x:c r="C173" s="38"/>
      <x:c r="D173" s="38"/>
      <x:c r="E173" s="263" t="str">
        <x:f>IF(B173="","",J173)</x:f>
      </x:c>
      <x:c r="F173" s="144"/>
      <x:c r="G173" s="144"/>
      <x:c r="H173" s="138"/>
      <x:c r="I173" s="38"/>
      <x:c r="J173" s="263" t="str">
        <x:f>IF(B173="","",MAX(0,O173+F173-G173))</x:f>
      </x:c>
      <x:c r="K173" s="144"/>
      <x:c r="L173" s="144"/>
      <x:c r="M173" s="138"/>
      <x:c r="N173" s="38"/>
      <x:c r="O173" s="263" t="str">
        <x:f>IF(B173="","",MAX(0,T173+K173-L173))</x:f>
      </x:c>
      <x:c r="P173" s="144"/>
      <x:c r="Q173" s="144"/>
      <x:c r="R173" s="138"/>
      <x:c r="S173" s="38"/>
      <x:c r="T173" s="263" t="str">
        <x:f>IF(B173="","",MAX(0,P173-Q173))</x:f>
      </x:c>
      <x:c r="U173" s="144"/>
      <x:c r="V173" s="144"/>
      <x:c r="W173" s="138"/>
      <x:c r="X173" s="263" t="str">
        <x:f>IF(B173="","",MAX(0,U173-V173))</x:f>
      </x:c>
      <x:c r="Y173" s="257" t="str">
        <x:f>IF(B173="","",IF(E173&lt;=0,0,IF(T173&gt;0,3,IF(O173&gt;0,2,1))))</x:f>
      </x:c>
      <x:c r="Z173" s="1"/>
      <x:c r="AA173" s="1"/>
      <x:c r="AB173" s="1"/>
      <x:c r="AC173" s="1"/>
      <x:c r="AD173" s="1"/>
      <x:c r="AE173" s="1"/>
    </x:row>
    <x:row r="174" ht="18" customHeight="1">
      <x:c r="A174" s="38"/>
      <x:c r="B174" s="38"/>
      <x:c r="C174" s="38"/>
      <x:c r="D174" s="38"/>
      <x:c r="E174" s="263" t="str">
        <x:f>IF(B174="","",J174)</x:f>
      </x:c>
      <x:c r="F174" s="144"/>
      <x:c r="G174" s="144"/>
      <x:c r="H174" s="138"/>
      <x:c r="I174" s="38"/>
      <x:c r="J174" s="263" t="str">
        <x:f>IF(B174="","",MAX(0,O174+F174-G174))</x:f>
      </x:c>
      <x:c r="K174" s="144"/>
      <x:c r="L174" s="144"/>
      <x:c r="M174" s="138"/>
      <x:c r="N174" s="38"/>
      <x:c r="O174" s="263" t="str">
        <x:f>IF(B174="","",MAX(0,T174+K174-L174))</x:f>
      </x:c>
      <x:c r="P174" s="144"/>
      <x:c r="Q174" s="144"/>
      <x:c r="R174" s="138"/>
      <x:c r="S174" s="38"/>
      <x:c r="T174" s="263" t="str">
        <x:f>IF(B174="","",MAX(0,P174-Q174))</x:f>
      </x:c>
      <x:c r="U174" s="144"/>
      <x:c r="V174" s="144"/>
      <x:c r="W174" s="138"/>
      <x:c r="X174" s="263" t="str">
        <x:f>IF(B174="","",MAX(0,U174-V174))</x:f>
      </x:c>
      <x:c r="Y174" s="257" t="str">
        <x:f>IF(B174="","",IF(E174&lt;=0,0,IF(T174&gt;0,3,IF(O174&gt;0,2,1))))</x:f>
      </x:c>
      <x:c r="Z174" s="1"/>
      <x:c r="AA174" s="1"/>
      <x:c r="AB174" s="1"/>
      <x:c r="AC174" s="1"/>
      <x:c r="AD174" s="1"/>
      <x:c r="AE174" s="1"/>
    </x:row>
    <x:row r="175" ht="18" customHeight="1">
      <x:c r="A175" s="38"/>
      <x:c r="B175" s="38"/>
      <x:c r="C175" s="38"/>
      <x:c r="D175" s="38"/>
      <x:c r="E175" s="263" t="str">
        <x:f>IF(B175="","",J175)</x:f>
      </x:c>
      <x:c r="F175" s="144"/>
      <x:c r="G175" s="144"/>
      <x:c r="H175" s="138"/>
      <x:c r="I175" s="38"/>
      <x:c r="J175" s="263" t="str">
        <x:f>IF(B175="","",MAX(0,O175+F175-G175))</x:f>
      </x:c>
      <x:c r="K175" s="144"/>
      <x:c r="L175" s="144"/>
      <x:c r="M175" s="138"/>
      <x:c r="N175" s="38"/>
      <x:c r="O175" s="263" t="str">
        <x:f>IF(B175="","",MAX(0,T175+K175-L175))</x:f>
      </x:c>
      <x:c r="P175" s="144"/>
      <x:c r="Q175" s="144"/>
      <x:c r="R175" s="138"/>
      <x:c r="S175" s="38"/>
      <x:c r="T175" s="263" t="str">
        <x:f>IF(B175="","",MAX(0,P175-Q175))</x:f>
      </x:c>
      <x:c r="U175" s="144"/>
      <x:c r="V175" s="144"/>
      <x:c r="W175" s="138"/>
      <x:c r="X175" s="263" t="str">
        <x:f>IF(B175="","",MAX(0,U175-V175))</x:f>
      </x:c>
      <x:c r="Y175" s="257" t="str">
        <x:f>IF(B175="","",IF(E175&lt;=0,0,IF(T175&gt;0,3,IF(O175&gt;0,2,1))))</x:f>
      </x:c>
      <x:c r="Z175" s="1"/>
      <x:c r="AA175" s="1"/>
      <x:c r="AB175" s="1"/>
      <x:c r="AC175" s="1"/>
      <x:c r="AD175" s="1"/>
      <x:c r="AE175" s="1"/>
    </x:row>
    <x:row r="176" ht="18" customHeight="1">
      <x:c r="A176" s="38"/>
      <x:c r="B176" s="38"/>
      <x:c r="C176" s="38"/>
      <x:c r="D176" s="38"/>
      <x:c r="E176" s="263" t="str">
        <x:f>IF(B176="","",J176)</x:f>
      </x:c>
      <x:c r="F176" s="144"/>
      <x:c r="G176" s="144"/>
      <x:c r="H176" s="138"/>
      <x:c r="I176" s="38"/>
      <x:c r="J176" s="263" t="str">
        <x:f>IF(B176="","",MAX(0,O176+F176-G176))</x:f>
      </x:c>
      <x:c r="K176" s="144"/>
      <x:c r="L176" s="144"/>
      <x:c r="M176" s="138"/>
      <x:c r="N176" s="38"/>
      <x:c r="O176" s="263" t="str">
        <x:f>IF(B176="","",MAX(0,T176+K176-L176))</x:f>
      </x:c>
      <x:c r="P176" s="144"/>
      <x:c r="Q176" s="144"/>
      <x:c r="R176" s="138"/>
      <x:c r="S176" s="38"/>
      <x:c r="T176" s="263" t="str">
        <x:f>IF(B176="","",MAX(0,P176-Q176))</x:f>
      </x:c>
      <x:c r="U176" s="144"/>
      <x:c r="V176" s="144"/>
      <x:c r="W176" s="138"/>
      <x:c r="X176" s="263" t="str">
        <x:f>IF(B176="","",MAX(0,U176-V176))</x:f>
      </x:c>
      <x:c r="Y176" s="257" t="str">
        <x:f>IF(B176="","",IF(E176&lt;=0,0,IF(T176&gt;0,3,IF(O176&gt;0,2,1))))</x:f>
      </x:c>
      <x:c r="Z176" s="1"/>
      <x:c r="AA176" s="1"/>
      <x:c r="AB176" s="1"/>
      <x:c r="AC176" s="1"/>
      <x:c r="AD176" s="1"/>
      <x:c r="AE176" s="1"/>
    </x:row>
    <x:row r="177" ht="18" customHeight="1">
      <x:c r="A177" s="38"/>
      <x:c r="B177" s="38"/>
      <x:c r="C177" s="38"/>
      <x:c r="D177" s="38"/>
      <x:c r="E177" s="263" t="str">
        <x:f>IF(B177="","",J177)</x:f>
      </x:c>
      <x:c r="F177" s="144"/>
      <x:c r="G177" s="144"/>
      <x:c r="H177" s="138"/>
      <x:c r="I177" s="38"/>
      <x:c r="J177" s="263" t="str">
        <x:f>IF(B177="","",MAX(0,O177+F177-G177))</x:f>
      </x:c>
      <x:c r="K177" s="144"/>
      <x:c r="L177" s="144"/>
      <x:c r="M177" s="138"/>
      <x:c r="N177" s="38"/>
      <x:c r="O177" s="263" t="str">
        <x:f>IF(B177="","",MAX(0,T177+K177-L177))</x:f>
      </x:c>
      <x:c r="P177" s="144"/>
      <x:c r="Q177" s="144"/>
      <x:c r="R177" s="138"/>
      <x:c r="S177" s="38"/>
      <x:c r="T177" s="263" t="str">
        <x:f>IF(B177="","",MAX(0,P177-Q177))</x:f>
      </x:c>
      <x:c r="U177" s="144"/>
      <x:c r="V177" s="144"/>
      <x:c r="W177" s="138"/>
      <x:c r="X177" s="263" t="str">
        <x:f>IF(B177="","",MAX(0,U177-V177))</x:f>
      </x:c>
      <x:c r="Y177" s="257" t="str">
        <x:f>IF(B177="","",IF(E177&lt;=0,0,IF(T177&gt;0,3,IF(O177&gt;0,2,1))))</x:f>
      </x:c>
      <x:c r="Z177" s="1"/>
      <x:c r="AA177" s="1"/>
      <x:c r="AB177" s="1"/>
      <x:c r="AC177" s="1"/>
      <x:c r="AD177" s="1"/>
      <x:c r="AE177" s="1"/>
    </x:row>
    <x:row r="178" ht="18" customHeight="1">
      <x:c r="A178" s="38"/>
      <x:c r="B178" s="38"/>
      <x:c r="C178" s="38"/>
      <x:c r="D178" s="38"/>
      <x:c r="E178" s="263" t="str">
        <x:f>IF(B178="","",J178)</x:f>
      </x:c>
      <x:c r="F178" s="144"/>
      <x:c r="G178" s="144"/>
      <x:c r="H178" s="138"/>
      <x:c r="I178" s="38"/>
      <x:c r="J178" s="263" t="str">
        <x:f>IF(B178="","",MAX(0,O178+F178-G178))</x:f>
      </x:c>
      <x:c r="K178" s="144"/>
      <x:c r="L178" s="144"/>
      <x:c r="M178" s="138"/>
      <x:c r="N178" s="38"/>
      <x:c r="O178" s="263" t="str">
        <x:f>IF(B178="","",MAX(0,T178+K178-L178))</x:f>
      </x:c>
      <x:c r="P178" s="144"/>
      <x:c r="Q178" s="144"/>
      <x:c r="R178" s="138"/>
      <x:c r="S178" s="38"/>
      <x:c r="T178" s="263" t="str">
        <x:f>IF(B178="","",MAX(0,P178-Q178))</x:f>
      </x:c>
      <x:c r="U178" s="144"/>
      <x:c r="V178" s="144"/>
      <x:c r="W178" s="138"/>
      <x:c r="X178" s="263" t="str">
        <x:f>IF(B178="","",MAX(0,U178-V178))</x:f>
      </x:c>
      <x:c r="Y178" s="257" t="str">
        <x:f>IF(B178="","",IF(E178&lt;=0,0,IF(T178&gt;0,3,IF(O178&gt;0,2,1))))</x:f>
      </x:c>
      <x:c r="Z178" s="1"/>
      <x:c r="AA178" s="1"/>
      <x:c r="AB178" s="1"/>
      <x:c r="AC178" s="1"/>
      <x:c r="AD178" s="1"/>
      <x:c r="AE178" s="1"/>
    </x:row>
    <x:row r="179" ht="18" customHeight="1">
      <x:c r="A179" s="38"/>
      <x:c r="B179" s="38"/>
      <x:c r="C179" s="38"/>
      <x:c r="D179" s="38"/>
      <x:c r="E179" s="263" t="str">
        <x:f>IF(B179="","",J179)</x:f>
      </x:c>
      <x:c r="F179" s="144"/>
      <x:c r="G179" s="144"/>
      <x:c r="H179" s="138"/>
      <x:c r="I179" s="38"/>
      <x:c r="J179" s="263" t="str">
        <x:f>IF(B179="","",MAX(0,O179+F179-G179))</x:f>
      </x:c>
      <x:c r="K179" s="144"/>
      <x:c r="L179" s="144"/>
      <x:c r="M179" s="138"/>
      <x:c r="N179" s="38"/>
      <x:c r="O179" s="263" t="str">
        <x:f>IF(B179="","",MAX(0,T179+K179-L179))</x:f>
      </x:c>
      <x:c r="P179" s="144"/>
      <x:c r="Q179" s="144"/>
      <x:c r="R179" s="138"/>
      <x:c r="S179" s="38"/>
      <x:c r="T179" s="263" t="str">
        <x:f>IF(B179="","",MAX(0,P179-Q179))</x:f>
      </x:c>
      <x:c r="U179" s="144"/>
      <x:c r="V179" s="144"/>
      <x:c r="W179" s="138"/>
      <x:c r="X179" s="263" t="str">
        <x:f>IF(B179="","",MAX(0,U179-V179))</x:f>
      </x:c>
      <x:c r="Y179" s="257" t="str">
        <x:f>IF(B179="","",IF(E179&lt;=0,0,IF(T179&gt;0,3,IF(O179&gt;0,2,1))))</x:f>
      </x:c>
      <x:c r="Z179" s="1"/>
      <x:c r="AA179" s="1"/>
      <x:c r="AB179" s="1"/>
      <x:c r="AC179" s="1"/>
      <x:c r="AD179" s="1"/>
      <x:c r="AE179" s="1"/>
    </x:row>
    <x:row r="180" ht="18" customHeight="1">
      <x:c r="A180" s="38"/>
      <x:c r="B180" s="38"/>
      <x:c r="C180" s="38"/>
      <x:c r="D180" s="38"/>
      <x:c r="E180" s="263" t="str">
        <x:f>IF(B180="","",J180)</x:f>
      </x:c>
      <x:c r="F180" s="144"/>
      <x:c r="G180" s="144"/>
      <x:c r="H180" s="138"/>
      <x:c r="I180" s="38"/>
      <x:c r="J180" s="263" t="str">
        <x:f>IF(B180="","",MAX(0,O180+F180-G180))</x:f>
      </x:c>
      <x:c r="K180" s="144"/>
      <x:c r="L180" s="144"/>
      <x:c r="M180" s="138"/>
      <x:c r="N180" s="38"/>
      <x:c r="O180" s="263" t="str">
        <x:f>IF(B180="","",MAX(0,T180+K180-L180))</x:f>
      </x:c>
      <x:c r="P180" s="144"/>
      <x:c r="Q180" s="144"/>
      <x:c r="R180" s="138"/>
      <x:c r="S180" s="38"/>
      <x:c r="T180" s="263" t="str">
        <x:f>IF(B180="","",MAX(0,P180-Q180))</x:f>
      </x:c>
      <x:c r="U180" s="144"/>
      <x:c r="V180" s="144"/>
      <x:c r="W180" s="138"/>
      <x:c r="X180" s="263" t="str">
        <x:f>IF(B180="","",MAX(0,U180-V180))</x:f>
      </x:c>
      <x:c r="Y180" s="257" t="str">
        <x:f>IF(B180="","",IF(E180&lt;=0,0,IF(T180&gt;0,3,IF(O180&gt;0,2,1))))</x:f>
      </x:c>
      <x:c r="Z180" s="1"/>
      <x:c r="AA180" s="1"/>
      <x:c r="AB180" s="1"/>
      <x:c r="AC180" s="1"/>
      <x:c r="AD180" s="1"/>
      <x:c r="AE180" s="1"/>
    </x:row>
    <x:row r="181" ht="18" customHeight="1">
      <x:c r="A181" s="38"/>
      <x:c r="B181" s="38"/>
      <x:c r="C181" s="38"/>
      <x:c r="D181" s="38"/>
      <x:c r="E181" s="263" t="str">
        <x:f>IF(B181="","",J181)</x:f>
      </x:c>
      <x:c r="F181" s="144"/>
      <x:c r="G181" s="144"/>
      <x:c r="H181" s="138"/>
      <x:c r="I181" s="38"/>
      <x:c r="J181" s="263" t="str">
        <x:f>IF(B181="","",MAX(0,O181+F181-G181))</x:f>
      </x:c>
      <x:c r="K181" s="144"/>
      <x:c r="L181" s="144"/>
      <x:c r="M181" s="138"/>
      <x:c r="N181" s="38"/>
      <x:c r="O181" s="263" t="str">
        <x:f>IF(B181="","",MAX(0,T181+K181-L181))</x:f>
      </x:c>
      <x:c r="P181" s="144"/>
      <x:c r="Q181" s="144"/>
      <x:c r="R181" s="138"/>
      <x:c r="S181" s="38"/>
      <x:c r="T181" s="263" t="str">
        <x:f>IF(B181="","",MAX(0,P181-Q181))</x:f>
      </x:c>
      <x:c r="U181" s="144"/>
      <x:c r="V181" s="144"/>
      <x:c r="W181" s="138"/>
      <x:c r="X181" s="263" t="str">
        <x:f>IF(B181="","",MAX(0,U181-V181))</x:f>
      </x:c>
      <x:c r="Y181" s="257" t="str">
        <x:f>IF(B181="","",IF(E181&lt;=0,0,IF(T181&gt;0,3,IF(O181&gt;0,2,1))))</x:f>
      </x:c>
      <x:c r="Z181" s="1"/>
      <x:c r="AA181" s="1"/>
      <x:c r="AB181" s="1"/>
      <x:c r="AC181" s="1"/>
      <x:c r="AD181" s="1"/>
      <x:c r="AE181" s="1"/>
    </x:row>
    <x:row r="182" ht="18" customHeight="1">
      <x:c r="A182" s="38"/>
      <x:c r="B182" s="38"/>
      <x:c r="C182" s="38"/>
      <x:c r="D182" s="38"/>
      <x:c r="E182" s="263" t="str">
        <x:f>IF(B182="","",J182)</x:f>
      </x:c>
      <x:c r="F182" s="144"/>
      <x:c r="G182" s="144"/>
      <x:c r="H182" s="138"/>
      <x:c r="I182" s="38"/>
      <x:c r="J182" s="263" t="str">
        <x:f>IF(B182="","",MAX(0,O182+F182-G182))</x:f>
      </x:c>
      <x:c r="K182" s="144"/>
      <x:c r="L182" s="144"/>
      <x:c r="M182" s="138"/>
      <x:c r="N182" s="38"/>
      <x:c r="O182" s="263" t="str">
        <x:f>IF(B182="","",MAX(0,T182+K182-L182))</x:f>
      </x:c>
      <x:c r="P182" s="144"/>
      <x:c r="Q182" s="144"/>
      <x:c r="R182" s="138"/>
      <x:c r="S182" s="38"/>
      <x:c r="T182" s="263" t="str">
        <x:f>IF(B182="","",MAX(0,P182-Q182))</x:f>
      </x:c>
      <x:c r="U182" s="144"/>
      <x:c r="V182" s="144"/>
      <x:c r="W182" s="138"/>
      <x:c r="X182" s="263" t="str">
        <x:f>IF(B182="","",MAX(0,U182-V182))</x:f>
      </x:c>
      <x:c r="Y182" s="257" t="str">
        <x:f>IF(B182="","",IF(E182&lt;=0,0,IF(T182&gt;0,3,IF(O182&gt;0,2,1))))</x:f>
      </x:c>
      <x:c r="Z182" s="1"/>
      <x:c r="AA182" s="1"/>
      <x:c r="AB182" s="1"/>
      <x:c r="AC182" s="1"/>
      <x:c r="AD182" s="1"/>
      <x:c r="AE182" s="1"/>
    </x:row>
    <x:row r="183" ht="18" customHeight="1">
      <x:c r="A183" s="38"/>
      <x:c r="B183" s="38"/>
      <x:c r="C183" s="38"/>
      <x:c r="D183" s="38"/>
      <x:c r="E183" s="263" t="str">
        <x:f>IF(B183="","",J183)</x:f>
      </x:c>
      <x:c r="F183" s="144"/>
      <x:c r="G183" s="144"/>
      <x:c r="H183" s="138"/>
      <x:c r="I183" s="38"/>
      <x:c r="J183" s="263" t="str">
        <x:f>IF(B183="","",MAX(0,O183+F183-G183))</x:f>
      </x:c>
      <x:c r="K183" s="144"/>
      <x:c r="L183" s="144"/>
      <x:c r="M183" s="138"/>
      <x:c r="N183" s="38"/>
      <x:c r="O183" s="263" t="str">
        <x:f>IF(B183="","",MAX(0,T183+K183-L183))</x:f>
      </x:c>
      <x:c r="P183" s="144"/>
      <x:c r="Q183" s="144"/>
      <x:c r="R183" s="138"/>
      <x:c r="S183" s="38"/>
      <x:c r="T183" s="263" t="str">
        <x:f>IF(B183="","",MAX(0,P183-Q183))</x:f>
      </x:c>
      <x:c r="U183" s="144"/>
      <x:c r="V183" s="144"/>
      <x:c r="W183" s="138"/>
      <x:c r="X183" s="263" t="str">
        <x:f>IF(B183="","",MAX(0,U183-V183))</x:f>
      </x:c>
      <x:c r="Y183" s="257" t="str">
        <x:f>IF(B183="","",IF(E183&lt;=0,0,IF(T183&gt;0,3,IF(O183&gt;0,2,1))))</x:f>
      </x:c>
      <x:c r="Z183" s="1"/>
      <x:c r="AA183" s="1"/>
      <x:c r="AB183" s="1"/>
      <x:c r="AC183" s="1"/>
      <x:c r="AD183" s="1"/>
      <x:c r="AE183" s="1"/>
    </x:row>
    <x:row r="184" ht="18" customHeight="1">
      <x:c r="A184" s="38"/>
      <x:c r="B184" s="38"/>
      <x:c r="C184" s="38"/>
      <x:c r="D184" s="38"/>
      <x:c r="E184" s="263" t="str">
        <x:f>IF(B184="","",J184)</x:f>
      </x:c>
      <x:c r="F184" s="144"/>
      <x:c r="G184" s="144"/>
      <x:c r="H184" s="138"/>
      <x:c r="I184" s="38"/>
      <x:c r="J184" s="263" t="str">
        <x:f>IF(B184="","",MAX(0,O184+F184-G184))</x:f>
      </x:c>
      <x:c r="K184" s="144"/>
      <x:c r="L184" s="144"/>
      <x:c r="M184" s="138"/>
      <x:c r="N184" s="38"/>
      <x:c r="O184" s="263" t="str">
        <x:f>IF(B184="","",MAX(0,T184+K184-L184))</x:f>
      </x:c>
      <x:c r="P184" s="144"/>
      <x:c r="Q184" s="144"/>
      <x:c r="R184" s="138"/>
      <x:c r="S184" s="38"/>
      <x:c r="T184" s="263" t="str">
        <x:f>IF(B184="","",MAX(0,P184-Q184))</x:f>
      </x:c>
      <x:c r="U184" s="144"/>
      <x:c r="V184" s="144"/>
      <x:c r="W184" s="138"/>
      <x:c r="X184" s="263" t="str">
        <x:f>IF(B184="","",MAX(0,U184-V184))</x:f>
      </x:c>
      <x:c r="Y184" s="257" t="str">
        <x:f>IF(B184="","",IF(E184&lt;=0,0,IF(T184&gt;0,3,IF(O184&gt;0,2,1))))</x:f>
      </x:c>
      <x:c r="Z184" s="1"/>
      <x:c r="AA184" s="1"/>
      <x:c r="AB184" s="1"/>
      <x:c r="AC184" s="1"/>
      <x:c r="AD184" s="1"/>
      <x:c r="AE184" s="1"/>
    </x:row>
    <x:row r="185" ht="18" customHeight="1">
      <x:c r="A185" s="38"/>
      <x:c r="B185" s="38"/>
      <x:c r="C185" s="38"/>
      <x:c r="D185" s="38"/>
      <x:c r="E185" s="263" t="str">
        <x:f>IF(B185="","",J185)</x:f>
      </x:c>
      <x:c r="F185" s="144"/>
      <x:c r="G185" s="144"/>
      <x:c r="H185" s="138"/>
      <x:c r="I185" s="38"/>
      <x:c r="J185" s="263" t="str">
        <x:f>IF(B185="","",MAX(0,O185+F185-G185))</x:f>
      </x:c>
      <x:c r="K185" s="144"/>
      <x:c r="L185" s="144"/>
      <x:c r="M185" s="138"/>
      <x:c r="N185" s="38"/>
      <x:c r="O185" s="263" t="str">
        <x:f>IF(B185="","",MAX(0,T185+K185-L185))</x:f>
      </x:c>
      <x:c r="P185" s="144"/>
      <x:c r="Q185" s="144"/>
      <x:c r="R185" s="138"/>
      <x:c r="S185" s="38"/>
      <x:c r="T185" s="263" t="str">
        <x:f>IF(B185="","",MAX(0,P185-Q185))</x:f>
      </x:c>
      <x:c r="U185" s="144"/>
      <x:c r="V185" s="144"/>
      <x:c r="W185" s="138"/>
      <x:c r="X185" s="263" t="str">
        <x:f>IF(B185="","",MAX(0,U185-V185))</x:f>
      </x:c>
      <x:c r="Y185" s="257" t="str">
        <x:f>IF(B185="","",IF(E185&lt;=0,0,IF(T185&gt;0,3,IF(O185&gt;0,2,1))))</x:f>
      </x:c>
      <x:c r="Z185" s="1"/>
      <x:c r="AA185" s="1"/>
      <x:c r="AB185" s="1"/>
      <x:c r="AC185" s="1"/>
      <x:c r="AD185" s="1"/>
      <x:c r="AE185" s="1"/>
    </x:row>
    <x:row r="186" ht="18" customHeight="1">
      <x:c r="A186" s="38"/>
      <x:c r="B186" s="38"/>
      <x:c r="C186" s="38"/>
      <x:c r="D186" s="38"/>
      <x:c r="E186" s="263" t="str">
        <x:f>IF(B186="","",J186)</x:f>
      </x:c>
      <x:c r="F186" s="144"/>
      <x:c r="G186" s="144"/>
      <x:c r="H186" s="138"/>
      <x:c r="I186" s="38"/>
      <x:c r="J186" s="263" t="str">
        <x:f>IF(B186="","",MAX(0,O186+F186-G186))</x:f>
      </x:c>
      <x:c r="K186" s="144"/>
      <x:c r="L186" s="144"/>
      <x:c r="M186" s="138"/>
      <x:c r="N186" s="38"/>
      <x:c r="O186" s="263" t="str">
        <x:f>IF(B186="","",MAX(0,T186+K186-L186))</x:f>
      </x:c>
      <x:c r="P186" s="144"/>
      <x:c r="Q186" s="144"/>
      <x:c r="R186" s="138"/>
      <x:c r="S186" s="38"/>
      <x:c r="T186" s="263" t="str">
        <x:f>IF(B186="","",MAX(0,P186-Q186))</x:f>
      </x:c>
      <x:c r="U186" s="144"/>
      <x:c r="V186" s="144"/>
      <x:c r="W186" s="138"/>
      <x:c r="X186" s="263" t="str">
        <x:f>IF(B186="","",MAX(0,U186-V186))</x:f>
      </x:c>
      <x:c r="Y186" s="257" t="str">
        <x:f>IF(B186="","",IF(E186&lt;=0,0,IF(T186&gt;0,3,IF(O186&gt;0,2,1))))</x:f>
      </x:c>
      <x:c r="Z186" s="1"/>
      <x:c r="AA186" s="1"/>
      <x:c r="AB186" s="1"/>
      <x:c r="AC186" s="1"/>
      <x:c r="AD186" s="1"/>
      <x:c r="AE186" s="1"/>
    </x:row>
    <x:row r="187" ht="18" customHeight="1">
      <x:c r="A187" s="38"/>
      <x:c r="B187" s="38"/>
      <x:c r="C187" s="38"/>
      <x:c r="D187" s="38"/>
      <x:c r="E187" s="263" t="str">
        <x:f>IF(B187="","",J187)</x:f>
      </x:c>
      <x:c r="F187" s="144"/>
      <x:c r="G187" s="144"/>
      <x:c r="H187" s="138"/>
      <x:c r="I187" s="38"/>
      <x:c r="J187" s="263" t="str">
        <x:f>IF(B187="","",MAX(0,O187+F187-G187))</x:f>
      </x:c>
      <x:c r="K187" s="144"/>
      <x:c r="L187" s="144"/>
      <x:c r="M187" s="138"/>
      <x:c r="N187" s="38"/>
      <x:c r="O187" s="263" t="str">
        <x:f>IF(B187="","",MAX(0,T187+K187-L187))</x:f>
      </x:c>
      <x:c r="P187" s="144"/>
      <x:c r="Q187" s="144"/>
      <x:c r="R187" s="138"/>
      <x:c r="S187" s="38"/>
      <x:c r="T187" s="263" t="str">
        <x:f>IF(B187="","",MAX(0,P187-Q187))</x:f>
      </x:c>
      <x:c r="U187" s="144"/>
      <x:c r="V187" s="144"/>
      <x:c r="W187" s="138"/>
      <x:c r="X187" s="263" t="str">
        <x:f>IF(B187="","",MAX(0,U187-V187))</x:f>
      </x:c>
      <x:c r="Y187" s="257" t="str">
        <x:f>IF(B187="","",IF(E187&lt;=0,0,IF(T187&gt;0,3,IF(O187&gt;0,2,1))))</x:f>
      </x:c>
      <x:c r="Z187" s="1"/>
      <x:c r="AA187" s="1"/>
      <x:c r="AB187" s="1"/>
      <x:c r="AC187" s="1"/>
      <x:c r="AD187" s="1"/>
      <x:c r="AE187" s="1"/>
    </x:row>
    <x:row r="188" ht="18" customHeight="1">
      <x:c r="A188" s="38"/>
      <x:c r="B188" s="38"/>
      <x:c r="C188" s="38"/>
      <x:c r="D188" s="38"/>
      <x:c r="E188" s="263" t="str">
        <x:f>IF(B188="","",J188)</x:f>
      </x:c>
      <x:c r="F188" s="144"/>
      <x:c r="G188" s="144"/>
      <x:c r="H188" s="138"/>
      <x:c r="I188" s="38"/>
      <x:c r="J188" s="263" t="str">
        <x:f>IF(B188="","",MAX(0,O188+F188-G188))</x:f>
      </x:c>
      <x:c r="K188" s="144"/>
      <x:c r="L188" s="144"/>
      <x:c r="M188" s="138"/>
      <x:c r="N188" s="38"/>
      <x:c r="O188" s="263" t="str">
        <x:f>IF(B188="","",MAX(0,T188+K188-L188))</x:f>
      </x:c>
      <x:c r="P188" s="144"/>
      <x:c r="Q188" s="144"/>
      <x:c r="R188" s="138"/>
      <x:c r="S188" s="38"/>
      <x:c r="T188" s="263" t="str">
        <x:f>IF(B188="","",MAX(0,P188-Q188))</x:f>
      </x:c>
      <x:c r="U188" s="144"/>
      <x:c r="V188" s="144"/>
      <x:c r="W188" s="138"/>
      <x:c r="X188" s="263" t="str">
        <x:f>IF(B188="","",MAX(0,U188-V188))</x:f>
      </x:c>
      <x:c r="Y188" s="257" t="str">
        <x:f>IF(B188="","",IF(E188&lt;=0,0,IF(T188&gt;0,3,IF(O188&gt;0,2,1))))</x:f>
      </x:c>
      <x:c r="Z188" s="1"/>
      <x:c r="AA188" s="1"/>
      <x:c r="AB188" s="1"/>
      <x:c r="AC188" s="1"/>
      <x:c r="AD188" s="1"/>
      <x:c r="AE188" s="1"/>
    </x:row>
    <x:row r="189" ht="18" customHeight="1">
      <x:c r="A189" s="38"/>
      <x:c r="B189" s="38"/>
      <x:c r="C189" s="38"/>
      <x:c r="D189" s="38"/>
      <x:c r="E189" s="263" t="str">
        <x:f>IF(B189="","",J189)</x:f>
      </x:c>
      <x:c r="F189" s="144"/>
      <x:c r="G189" s="144"/>
      <x:c r="H189" s="138"/>
      <x:c r="I189" s="38"/>
      <x:c r="J189" s="263" t="str">
        <x:f>IF(B189="","",MAX(0,O189+F189-G189))</x:f>
      </x:c>
      <x:c r="K189" s="144"/>
      <x:c r="L189" s="144"/>
      <x:c r="M189" s="138"/>
      <x:c r="N189" s="38"/>
      <x:c r="O189" s="263" t="str">
        <x:f>IF(B189="","",MAX(0,T189+K189-L189))</x:f>
      </x:c>
      <x:c r="P189" s="144"/>
      <x:c r="Q189" s="144"/>
      <x:c r="R189" s="138"/>
      <x:c r="S189" s="38"/>
      <x:c r="T189" s="263" t="str">
        <x:f>IF(B189="","",MAX(0,P189-Q189))</x:f>
      </x:c>
      <x:c r="U189" s="144"/>
      <x:c r="V189" s="144"/>
      <x:c r="W189" s="138"/>
      <x:c r="X189" s="263" t="str">
        <x:f>IF(B189="","",MAX(0,U189-V189))</x:f>
      </x:c>
      <x:c r="Y189" s="257" t="str">
        <x:f>IF(B189="","",IF(E189&lt;=0,0,IF(T189&gt;0,3,IF(O189&gt;0,2,1))))</x:f>
      </x:c>
      <x:c r="Z189" s="1"/>
      <x:c r="AA189" s="1"/>
      <x:c r="AB189" s="1"/>
      <x:c r="AC189" s="1"/>
      <x:c r="AD189" s="1"/>
      <x:c r="AE189" s="1"/>
    </x:row>
    <x:row r="190" ht="18" customHeight="1">
      <x:c r="A190" s="38"/>
      <x:c r="B190" s="38"/>
      <x:c r="C190" s="38"/>
      <x:c r="D190" s="38"/>
      <x:c r="E190" s="263" t="str">
        <x:f>IF(B190="","",J190)</x:f>
      </x:c>
      <x:c r="F190" s="144"/>
      <x:c r="G190" s="144"/>
      <x:c r="H190" s="138"/>
      <x:c r="I190" s="38"/>
      <x:c r="J190" s="263" t="str">
        <x:f>IF(B190="","",MAX(0,O190+F190-G190))</x:f>
      </x:c>
      <x:c r="K190" s="144"/>
      <x:c r="L190" s="144"/>
      <x:c r="M190" s="138"/>
      <x:c r="N190" s="38"/>
      <x:c r="O190" s="263" t="str">
        <x:f>IF(B190="","",MAX(0,T190+K190-L190))</x:f>
      </x:c>
      <x:c r="P190" s="144"/>
      <x:c r="Q190" s="144"/>
      <x:c r="R190" s="138"/>
      <x:c r="S190" s="38"/>
      <x:c r="T190" s="263" t="str">
        <x:f>IF(B190="","",MAX(0,P190-Q190))</x:f>
      </x:c>
      <x:c r="U190" s="144"/>
      <x:c r="V190" s="144"/>
      <x:c r="W190" s="138"/>
      <x:c r="X190" s="263" t="str">
        <x:f>IF(B190="","",MAX(0,U190-V190))</x:f>
      </x:c>
      <x:c r="Y190" s="257" t="str">
        <x:f>IF(B190="","",IF(E190&lt;=0,0,IF(T190&gt;0,3,IF(O190&gt;0,2,1))))</x:f>
      </x:c>
      <x:c r="Z190" s="1"/>
      <x:c r="AA190" s="1"/>
      <x:c r="AB190" s="1"/>
      <x:c r="AC190" s="1"/>
      <x:c r="AD190" s="1"/>
      <x:c r="AE190" s="1"/>
    </x:row>
    <x:row r="191" ht="18" customHeight="1">
      <x:c r="A191" s="38"/>
      <x:c r="B191" s="38"/>
      <x:c r="C191" s="38"/>
      <x:c r="D191" s="38"/>
      <x:c r="E191" s="263" t="str">
        <x:f>IF(B191="","",J191)</x:f>
      </x:c>
      <x:c r="F191" s="144"/>
      <x:c r="G191" s="144"/>
      <x:c r="H191" s="138"/>
      <x:c r="I191" s="38"/>
      <x:c r="J191" s="263" t="str">
        <x:f>IF(B191="","",MAX(0,O191+F191-G191))</x:f>
      </x:c>
      <x:c r="K191" s="144"/>
      <x:c r="L191" s="144"/>
      <x:c r="M191" s="138"/>
      <x:c r="N191" s="38"/>
      <x:c r="O191" s="263" t="str">
        <x:f>IF(B191="","",MAX(0,T191+K191-L191))</x:f>
      </x:c>
      <x:c r="P191" s="144"/>
      <x:c r="Q191" s="144"/>
      <x:c r="R191" s="138"/>
      <x:c r="S191" s="38"/>
      <x:c r="T191" s="263" t="str">
        <x:f>IF(B191="","",MAX(0,P191-Q191))</x:f>
      </x:c>
      <x:c r="U191" s="144"/>
      <x:c r="V191" s="144"/>
      <x:c r="W191" s="138"/>
      <x:c r="X191" s="263" t="str">
        <x:f>IF(B191="","",MAX(0,U191-V191))</x:f>
      </x:c>
      <x:c r="Y191" s="257" t="str">
        <x:f>IF(B191="","",IF(E191&lt;=0,0,IF(T191&gt;0,3,IF(O191&gt;0,2,1))))</x:f>
      </x:c>
      <x:c r="Z191" s="1"/>
      <x:c r="AA191" s="1"/>
      <x:c r="AB191" s="1"/>
      <x:c r="AC191" s="1"/>
      <x:c r="AD191" s="1"/>
      <x:c r="AE191" s="1"/>
    </x:row>
    <x:row r="192" ht="18" customHeight="1">
      <x:c r="A192" s="38"/>
      <x:c r="B192" s="38"/>
      <x:c r="C192" s="38"/>
      <x:c r="D192" s="38"/>
      <x:c r="E192" s="263" t="str">
        <x:f>IF(B192="","",J192)</x:f>
      </x:c>
      <x:c r="F192" s="144"/>
      <x:c r="G192" s="144"/>
      <x:c r="H192" s="138"/>
      <x:c r="I192" s="38"/>
      <x:c r="J192" s="263" t="str">
        <x:f>IF(B192="","",MAX(0,O192+F192-G192))</x:f>
      </x:c>
      <x:c r="K192" s="144"/>
      <x:c r="L192" s="144"/>
      <x:c r="M192" s="138"/>
      <x:c r="N192" s="38"/>
      <x:c r="O192" s="263" t="str">
        <x:f>IF(B192="","",MAX(0,T192+K192-L192))</x:f>
      </x:c>
      <x:c r="P192" s="144"/>
      <x:c r="Q192" s="144"/>
      <x:c r="R192" s="138"/>
      <x:c r="S192" s="38"/>
      <x:c r="T192" s="263" t="str">
        <x:f>IF(B192="","",MAX(0,P192-Q192))</x:f>
      </x:c>
      <x:c r="U192" s="144"/>
      <x:c r="V192" s="144"/>
      <x:c r="W192" s="138"/>
      <x:c r="X192" s="263" t="str">
        <x:f>IF(B192="","",MAX(0,U192-V192))</x:f>
      </x:c>
      <x:c r="Y192" s="257" t="str">
        <x:f>IF(B192="","",IF(E192&lt;=0,0,IF(T192&gt;0,3,IF(O192&gt;0,2,1))))</x:f>
      </x:c>
      <x:c r="Z192" s="1"/>
      <x:c r="AA192" s="1"/>
      <x:c r="AB192" s="1"/>
      <x:c r="AC192" s="1"/>
      <x:c r="AD192" s="1"/>
      <x:c r="AE192" s="1"/>
    </x:row>
    <x:row r="193" ht="18" customHeight="1">
      <x:c r="A193" s="38"/>
      <x:c r="B193" s="38"/>
      <x:c r="C193" s="38"/>
      <x:c r="D193" s="38"/>
      <x:c r="E193" s="263" t="str">
        <x:f>IF(B193="","",J193)</x:f>
      </x:c>
      <x:c r="F193" s="144"/>
      <x:c r="G193" s="144"/>
      <x:c r="H193" s="138"/>
      <x:c r="I193" s="38"/>
      <x:c r="J193" s="263" t="str">
        <x:f>IF(B193="","",MAX(0,O193+F193-G193))</x:f>
      </x:c>
      <x:c r="K193" s="144"/>
      <x:c r="L193" s="144"/>
      <x:c r="M193" s="138"/>
      <x:c r="N193" s="38"/>
      <x:c r="O193" s="263" t="str">
        <x:f>IF(B193="","",MAX(0,T193+K193-L193))</x:f>
      </x:c>
      <x:c r="P193" s="144"/>
      <x:c r="Q193" s="144"/>
      <x:c r="R193" s="138"/>
      <x:c r="S193" s="38"/>
      <x:c r="T193" s="263" t="str">
        <x:f>IF(B193="","",MAX(0,P193-Q193))</x:f>
      </x:c>
      <x:c r="U193" s="144"/>
      <x:c r="V193" s="144"/>
      <x:c r="W193" s="138"/>
      <x:c r="X193" s="263" t="str">
        <x:f>IF(B193="","",MAX(0,U193-V193))</x:f>
      </x:c>
      <x:c r="Y193" s="257" t="str">
        <x:f>IF(B193="","",IF(E193&lt;=0,0,IF(T193&gt;0,3,IF(O193&gt;0,2,1))))</x:f>
      </x:c>
      <x:c r="Z193" s="1"/>
      <x:c r="AA193" s="1"/>
      <x:c r="AB193" s="1"/>
      <x:c r="AC193" s="1"/>
      <x:c r="AD193" s="1"/>
      <x:c r="AE193" s="1"/>
    </x:row>
    <x:row r="194" ht="18" customHeight="1">
      <x:c r="A194" s="38"/>
      <x:c r="B194" s="38"/>
      <x:c r="C194" s="38"/>
      <x:c r="D194" s="38"/>
      <x:c r="E194" s="263" t="str">
        <x:f>IF(B194="","",J194)</x:f>
      </x:c>
      <x:c r="F194" s="144"/>
      <x:c r="G194" s="144"/>
      <x:c r="H194" s="138"/>
      <x:c r="I194" s="38"/>
      <x:c r="J194" s="263" t="str">
        <x:f>IF(B194="","",MAX(0,O194+F194-G194))</x:f>
      </x:c>
      <x:c r="K194" s="144"/>
      <x:c r="L194" s="144"/>
      <x:c r="M194" s="138"/>
      <x:c r="N194" s="38"/>
      <x:c r="O194" s="263" t="str">
        <x:f>IF(B194="","",MAX(0,T194+K194-L194))</x:f>
      </x:c>
      <x:c r="P194" s="144"/>
      <x:c r="Q194" s="144"/>
      <x:c r="R194" s="138"/>
      <x:c r="S194" s="38"/>
      <x:c r="T194" s="263" t="str">
        <x:f>IF(B194="","",MAX(0,P194-Q194))</x:f>
      </x:c>
      <x:c r="U194" s="144"/>
      <x:c r="V194" s="144"/>
      <x:c r="W194" s="138"/>
      <x:c r="X194" s="263" t="str">
        <x:f>IF(B194="","",MAX(0,U194-V194))</x:f>
      </x:c>
      <x:c r="Y194" s="257" t="str">
        <x:f>IF(B194="","",IF(E194&lt;=0,0,IF(T194&gt;0,3,IF(O194&gt;0,2,1))))</x:f>
      </x:c>
      <x:c r="Z194" s="1"/>
      <x:c r="AA194" s="1"/>
      <x:c r="AB194" s="1"/>
      <x:c r="AC194" s="1"/>
      <x:c r="AD194" s="1"/>
      <x:c r="AE194" s="1"/>
    </x:row>
    <x:row r="195" ht="18" customHeight="1">
      <x:c r="A195" s="38"/>
      <x:c r="B195" s="38"/>
      <x:c r="C195" s="38"/>
      <x:c r="D195" s="38"/>
      <x:c r="E195" s="263" t="str">
        <x:f>IF(B195="","",J195)</x:f>
      </x:c>
      <x:c r="F195" s="144"/>
      <x:c r="G195" s="144"/>
      <x:c r="H195" s="138"/>
      <x:c r="I195" s="38"/>
      <x:c r="J195" s="263" t="str">
        <x:f>IF(B195="","",MAX(0,O195+F195-G195))</x:f>
      </x:c>
      <x:c r="K195" s="144"/>
      <x:c r="L195" s="144"/>
      <x:c r="M195" s="138"/>
      <x:c r="N195" s="38"/>
      <x:c r="O195" s="263" t="str">
        <x:f>IF(B195="","",MAX(0,T195+K195-L195))</x:f>
      </x:c>
      <x:c r="P195" s="144"/>
      <x:c r="Q195" s="144"/>
      <x:c r="R195" s="138"/>
      <x:c r="S195" s="38"/>
      <x:c r="T195" s="263" t="str">
        <x:f>IF(B195="","",MAX(0,P195-Q195))</x:f>
      </x:c>
      <x:c r="U195" s="144"/>
      <x:c r="V195" s="144"/>
      <x:c r="W195" s="138"/>
      <x:c r="X195" s="263" t="str">
        <x:f>IF(B195="","",MAX(0,U195-V195))</x:f>
      </x:c>
      <x:c r="Y195" s="257" t="str">
        <x:f>IF(B195="","",IF(E195&lt;=0,0,IF(T195&gt;0,3,IF(O195&gt;0,2,1))))</x:f>
      </x:c>
      <x:c r="Z195" s="1"/>
      <x:c r="AA195" s="1"/>
      <x:c r="AB195" s="1"/>
      <x:c r="AC195" s="1"/>
      <x:c r="AD195" s="1"/>
      <x:c r="AE195" s="1"/>
    </x:row>
    <x:row r="196" ht="18" customHeight="1">
      <x:c r="A196" s="38"/>
      <x:c r="B196" s="38"/>
      <x:c r="C196" s="38"/>
      <x:c r="D196" s="38"/>
      <x:c r="E196" s="263" t="str">
        <x:f>IF(B196="","",J196)</x:f>
      </x:c>
      <x:c r="F196" s="144"/>
      <x:c r="G196" s="144"/>
      <x:c r="H196" s="138"/>
      <x:c r="I196" s="38"/>
      <x:c r="J196" s="263" t="str">
        <x:f>IF(B196="","",MAX(0,O196+F196-G196))</x:f>
      </x:c>
      <x:c r="K196" s="144"/>
      <x:c r="L196" s="144"/>
      <x:c r="M196" s="138"/>
      <x:c r="N196" s="38"/>
      <x:c r="O196" s="263" t="str">
        <x:f>IF(B196="","",MAX(0,T196+K196-L196))</x:f>
      </x:c>
      <x:c r="P196" s="144"/>
      <x:c r="Q196" s="144"/>
      <x:c r="R196" s="138"/>
      <x:c r="S196" s="38"/>
      <x:c r="T196" s="263" t="str">
        <x:f>IF(B196="","",MAX(0,P196-Q196))</x:f>
      </x:c>
      <x:c r="U196" s="144"/>
      <x:c r="V196" s="144"/>
      <x:c r="W196" s="138"/>
      <x:c r="X196" s="263" t="str">
        <x:f>IF(B196="","",MAX(0,U196-V196))</x:f>
      </x:c>
      <x:c r="Y196" s="257" t="str">
        <x:f>IF(B196="","",IF(E196&lt;=0,0,IF(T196&gt;0,3,IF(O196&gt;0,2,1))))</x:f>
      </x:c>
      <x:c r="Z196" s="1"/>
      <x:c r="AA196" s="1"/>
      <x:c r="AB196" s="1"/>
      <x:c r="AC196" s="1"/>
      <x:c r="AD196" s="1"/>
      <x:c r="AE196" s="1"/>
    </x:row>
    <x:row r="197" ht="18" customHeight="1">
      <x:c r="A197" s="38"/>
      <x:c r="B197" s="38"/>
      <x:c r="C197" s="38"/>
      <x:c r="D197" s="38"/>
      <x:c r="E197" s="263" t="str">
        <x:f>IF(B197="","",J197)</x:f>
      </x:c>
      <x:c r="F197" s="144"/>
      <x:c r="G197" s="144"/>
      <x:c r="H197" s="138"/>
      <x:c r="I197" s="38"/>
      <x:c r="J197" s="263" t="str">
        <x:f>IF(B197="","",MAX(0,O197+F197-G197))</x:f>
      </x:c>
      <x:c r="K197" s="144"/>
      <x:c r="L197" s="144"/>
      <x:c r="M197" s="138"/>
      <x:c r="N197" s="38"/>
      <x:c r="O197" s="263" t="str">
        <x:f>IF(B197="","",MAX(0,T197+K197-L197))</x:f>
      </x:c>
      <x:c r="P197" s="144"/>
      <x:c r="Q197" s="144"/>
      <x:c r="R197" s="138"/>
      <x:c r="S197" s="38"/>
      <x:c r="T197" s="263" t="str">
        <x:f>IF(B197="","",MAX(0,P197-Q197))</x:f>
      </x:c>
      <x:c r="U197" s="144"/>
      <x:c r="V197" s="144"/>
      <x:c r="W197" s="138"/>
      <x:c r="X197" s="263" t="str">
        <x:f>IF(B197="","",MAX(0,U197-V197))</x:f>
      </x:c>
      <x:c r="Y197" s="257" t="str">
        <x:f>IF(B197="","",IF(E197&lt;=0,0,IF(T197&gt;0,3,IF(O197&gt;0,2,1))))</x:f>
      </x:c>
      <x:c r="Z197" s="1"/>
      <x:c r="AA197" s="1"/>
      <x:c r="AB197" s="1"/>
      <x:c r="AC197" s="1"/>
      <x:c r="AD197" s="1"/>
      <x:c r="AE197" s="1"/>
    </x:row>
    <x:row r="198" ht="18" customHeight="1">
      <x:c r="A198" s="38"/>
      <x:c r="B198" s="38"/>
      <x:c r="C198" s="38"/>
      <x:c r="D198" s="38"/>
      <x:c r="E198" s="263" t="str">
        <x:f>IF(B198="","",J198)</x:f>
      </x:c>
      <x:c r="F198" s="144"/>
      <x:c r="G198" s="144"/>
      <x:c r="H198" s="138"/>
      <x:c r="I198" s="38"/>
      <x:c r="J198" s="263" t="str">
        <x:f>IF(B198="","",MAX(0,O198+F198-G198))</x:f>
      </x:c>
      <x:c r="K198" s="144"/>
      <x:c r="L198" s="144"/>
      <x:c r="M198" s="138"/>
      <x:c r="N198" s="38"/>
      <x:c r="O198" s="263" t="str">
        <x:f>IF(B198="","",MAX(0,T198+K198-L198))</x:f>
      </x:c>
      <x:c r="P198" s="144"/>
      <x:c r="Q198" s="144"/>
      <x:c r="R198" s="138"/>
      <x:c r="S198" s="38"/>
      <x:c r="T198" s="263" t="str">
        <x:f>IF(B198="","",MAX(0,P198-Q198))</x:f>
      </x:c>
      <x:c r="U198" s="144"/>
      <x:c r="V198" s="144"/>
      <x:c r="W198" s="138"/>
      <x:c r="X198" s="263" t="str">
        <x:f>IF(B198="","",MAX(0,U198-V198))</x:f>
      </x:c>
      <x:c r="Y198" s="257" t="str">
        <x:f>IF(B198="","",IF(E198&lt;=0,0,IF(T198&gt;0,3,IF(O198&gt;0,2,1))))</x:f>
      </x:c>
      <x:c r="Z198" s="1"/>
      <x:c r="AA198" s="1"/>
      <x:c r="AB198" s="1"/>
      <x:c r="AC198" s="1"/>
      <x:c r="AD198" s="1"/>
      <x:c r="AE198" s="1"/>
    </x:row>
    <x:row r="199" ht="18" customHeight="1">
      <x:c r="A199" s="38"/>
      <x:c r="B199" s="38"/>
      <x:c r="C199" s="38"/>
      <x:c r="D199" s="38"/>
      <x:c r="E199" s="263" t="str">
        <x:f>IF(B199="","",J199)</x:f>
      </x:c>
      <x:c r="F199" s="144"/>
      <x:c r="G199" s="144"/>
      <x:c r="H199" s="138"/>
      <x:c r="I199" s="38"/>
      <x:c r="J199" s="263" t="str">
        <x:f>IF(B199="","",MAX(0,O199+F199-G199))</x:f>
      </x:c>
      <x:c r="K199" s="144"/>
      <x:c r="L199" s="144"/>
      <x:c r="M199" s="138"/>
      <x:c r="N199" s="38"/>
      <x:c r="O199" s="263" t="str">
        <x:f>IF(B199="","",MAX(0,T199+K199-L199))</x:f>
      </x:c>
      <x:c r="P199" s="144"/>
      <x:c r="Q199" s="144"/>
      <x:c r="R199" s="138"/>
      <x:c r="S199" s="38"/>
      <x:c r="T199" s="263" t="str">
        <x:f>IF(B199="","",MAX(0,P199-Q199))</x:f>
      </x:c>
      <x:c r="U199" s="144"/>
      <x:c r="V199" s="144"/>
      <x:c r="W199" s="138"/>
      <x:c r="X199" s="263" t="str">
        <x:f>IF(B199="","",MAX(0,U199-V199))</x:f>
      </x:c>
      <x:c r="Y199" s="257" t="str">
        <x:f>IF(B199="","",IF(E199&lt;=0,0,IF(T199&gt;0,3,IF(O199&gt;0,2,1))))</x:f>
      </x:c>
      <x:c r="Z199" s="1"/>
      <x:c r="AA199" s="1"/>
      <x:c r="AB199" s="1"/>
      <x:c r="AC199" s="1"/>
      <x:c r="AD199" s="1"/>
      <x:c r="AE199" s="1"/>
    </x:row>
    <x:row r="200" ht="18" customHeight="1">
      <x:c r="A200" s="38"/>
      <x:c r="B200" s="38"/>
      <x:c r="C200" s="38"/>
      <x:c r="D200" s="38"/>
      <x:c r="E200" s="263" t="str">
        <x:f>IF(B200="","",J200)</x:f>
      </x:c>
      <x:c r="F200" s="144"/>
      <x:c r="G200" s="144"/>
      <x:c r="H200" s="138"/>
      <x:c r="I200" s="38"/>
      <x:c r="J200" s="263" t="str">
        <x:f>IF(B200="","",MAX(0,O200+F200-G200))</x:f>
      </x:c>
      <x:c r="K200" s="144"/>
      <x:c r="L200" s="144"/>
      <x:c r="M200" s="138"/>
      <x:c r="N200" s="38"/>
      <x:c r="O200" s="263" t="str">
        <x:f>IF(B200="","",MAX(0,T200+K200-L200))</x:f>
      </x:c>
      <x:c r="P200" s="144"/>
      <x:c r="Q200" s="144"/>
      <x:c r="R200" s="138"/>
      <x:c r="S200" s="38"/>
      <x:c r="T200" s="263" t="str">
        <x:f>IF(B200="","",MAX(0,P200-Q200))</x:f>
      </x:c>
      <x:c r="U200" s="144"/>
      <x:c r="V200" s="144"/>
      <x:c r="W200" s="138"/>
      <x:c r="X200" s="263" t="str">
        <x:f>IF(B200="","",MAX(0,U200-V200))</x:f>
      </x:c>
      <x:c r="Y200" s="257" t="str">
        <x:f>IF(B200="","",IF(E200&lt;=0,0,IF(T200&gt;0,3,IF(O200&gt;0,2,1))))</x:f>
      </x:c>
      <x:c r="Z200" s="1"/>
      <x:c r="AA200" s="1"/>
      <x:c r="AB200" s="1"/>
      <x:c r="AC200" s="1"/>
      <x:c r="AD200" s="1"/>
      <x:c r="AE200" s="1"/>
    </x:row>
    <x:row r="201" ht="18" customHeight="1">
      <x:c r="A201" s="38"/>
      <x:c r="B201" s="38"/>
      <x:c r="C201" s="38"/>
      <x:c r="D201" s="38"/>
      <x:c r="E201" s="263" t="str">
        <x:f>IF(B201="","",J201)</x:f>
      </x:c>
      <x:c r="F201" s="144"/>
      <x:c r="G201" s="144"/>
      <x:c r="H201" s="138"/>
      <x:c r="I201" s="38"/>
      <x:c r="J201" s="263" t="str">
        <x:f>IF(B201="","",MAX(0,O201+F201-G201))</x:f>
      </x:c>
      <x:c r="K201" s="144"/>
      <x:c r="L201" s="144"/>
      <x:c r="M201" s="138"/>
      <x:c r="N201" s="38"/>
      <x:c r="O201" s="263" t="str">
        <x:f>IF(B201="","",MAX(0,T201+K201-L201))</x:f>
      </x:c>
      <x:c r="P201" s="144"/>
      <x:c r="Q201" s="144"/>
      <x:c r="R201" s="138"/>
      <x:c r="S201" s="38"/>
      <x:c r="T201" s="263" t="str">
        <x:f>IF(B201="","",MAX(0,P201-Q201))</x:f>
      </x:c>
      <x:c r="U201" s="144"/>
      <x:c r="V201" s="144"/>
      <x:c r="W201" s="138"/>
      <x:c r="X201" s="263" t="str">
        <x:f>IF(B201="","",MAX(0,U201-V201))</x:f>
      </x:c>
      <x:c r="Y201" s="257" t="str">
        <x:f>IF(B201="","",IF(E201&lt;=0,0,IF(T201&gt;0,3,IF(O201&gt;0,2,1))))</x:f>
      </x:c>
      <x:c r="Z201" s="1"/>
      <x:c r="AA201" s="1"/>
      <x:c r="AB201" s="1"/>
      <x:c r="AC201" s="1"/>
      <x:c r="AD201" s="1"/>
      <x:c r="AE201" s="1"/>
    </x:row>
    <x:row r="202" ht="18" customHeight="1">
      <x:c r="A202" s="38"/>
      <x:c r="B202" s="38"/>
      <x:c r="C202" s="38"/>
      <x:c r="D202" s="38"/>
      <x:c r="E202" s="263" t="str">
        <x:f>IF(B202="","",J202)</x:f>
      </x:c>
      <x:c r="F202" s="144"/>
      <x:c r="G202" s="144"/>
      <x:c r="H202" s="138"/>
      <x:c r="I202" s="38"/>
      <x:c r="J202" s="263" t="str">
        <x:f>IF(B202="","",MAX(0,O202+F202-G202))</x:f>
      </x:c>
      <x:c r="K202" s="144"/>
      <x:c r="L202" s="144"/>
      <x:c r="M202" s="138"/>
      <x:c r="N202" s="38"/>
      <x:c r="O202" s="263" t="str">
        <x:f>IF(B202="","",MAX(0,T202+K202-L202))</x:f>
      </x:c>
      <x:c r="P202" s="144"/>
      <x:c r="Q202" s="144"/>
      <x:c r="R202" s="138"/>
      <x:c r="S202" s="38"/>
      <x:c r="T202" s="263" t="str">
        <x:f>IF(B202="","",MAX(0,P202-Q202))</x:f>
      </x:c>
      <x:c r="U202" s="144"/>
      <x:c r="V202" s="144"/>
      <x:c r="W202" s="138"/>
      <x:c r="X202" s="263" t="str">
        <x:f>IF(B202="","",MAX(0,U202-V202))</x:f>
      </x:c>
      <x:c r="Y202" s="257" t="str">
        <x:f>IF(B202="","",IF(E202&lt;=0,0,IF(T202&gt;0,3,IF(O202&gt;0,2,1))))</x:f>
      </x:c>
      <x:c r="Z202" s="1"/>
      <x:c r="AA202" s="1"/>
      <x:c r="AB202" s="1"/>
      <x:c r="AC202" s="1"/>
      <x:c r="AD202" s="1"/>
      <x:c r="AE202" s="1"/>
    </x:row>
    <x:row r="203" ht="18" customHeight="1">
      <x:c r="A203" s="38"/>
      <x:c r="B203" s="38"/>
      <x:c r="C203" s="38"/>
      <x:c r="D203" s="38"/>
      <x:c r="E203" s="263" t="str">
        <x:f>IF(B203="","",J203)</x:f>
      </x:c>
      <x:c r="F203" s="144"/>
      <x:c r="G203" s="144"/>
      <x:c r="H203" s="138"/>
      <x:c r="I203" s="38"/>
      <x:c r="J203" s="263" t="str">
        <x:f>IF(B203="","",MAX(0,O203+F203-G203))</x:f>
      </x:c>
      <x:c r="K203" s="144"/>
      <x:c r="L203" s="144"/>
      <x:c r="M203" s="138"/>
      <x:c r="N203" s="38"/>
      <x:c r="O203" s="263" t="str">
        <x:f>IF(B203="","",MAX(0,T203+K203-L203))</x:f>
      </x:c>
      <x:c r="P203" s="144"/>
      <x:c r="Q203" s="144"/>
      <x:c r="R203" s="138"/>
      <x:c r="S203" s="38"/>
      <x:c r="T203" s="263" t="str">
        <x:f>IF(B203="","",MAX(0,P203-Q203))</x:f>
      </x:c>
      <x:c r="U203" s="144"/>
      <x:c r="V203" s="144"/>
      <x:c r="W203" s="138"/>
      <x:c r="X203" s="263" t="str">
        <x:f>IF(B203="","",MAX(0,U203-V203))</x:f>
      </x:c>
      <x:c r="Y203" s="257" t="str">
        <x:f>IF(B203="","",IF(E203&lt;=0,0,IF(T203&gt;0,3,IF(O203&gt;0,2,1))))</x:f>
      </x:c>
      <x:c r="Z203" s="1"/>
      <x:c r="AA203" s="1"/>
      <x:c r="AB203" s="1"/>
      <x:c r="AC203" s="1"/>
      <x:c r="AD203" s="1"/>
      <x:c r="AE203" s="1"/>
    </x:row>
    <x:row r="204" ht="18" customHeight="1">
      <x:c r="A204" s="39"/>
      <x:c r="B204" s="39"/>
      <x:c r="C204" s="39"/>
      <x:c r="D204" s="39"/>
      <x:c r="E204" s="264" t="str">
        <x:f>IF(B204="","",J204)</x:f>
      </x:c>
      <x:c r="F204" s="145"/>
      <x:c r="G204" s="145"/>
      <x:c r="H204" s="139"/>
      <x:c r="I204" s="39"/>
      <x:c r="J204" s="264" t="str">
        <x:f>IF(B204="","",MAX(0,O204+F204-G204))</x:f>
      </x:c>
      <x:c r="K204" s="145"/>
      <x:c r="L204" s="145"/>
      <x:c r="M204" s="139"/>
      <x:c r="N204" s="39"/>
      <x:c r="O204" s="264" t="str">
        <x:f>IF(B204="","",MAX(0,T204+K204-L204))</x:f>
      </x:c>
      <x:c r="P204" s="145"/>
      <x:c r="Q204" s="145"/>
      <x:c r="R204" s="139"/>
      <x:c r="S204" s="39"/>
      <x:c r="T204" s="264" t="str">
        <x:f>IF(B204="","",MAX(0,P204-Q204))</x:f>
      </x:c>
      <x:c r="U204" s="145"/>
      <x:c r="V204" s="145"/>
      <x:c r="W204" s="139"/>
      <x:c r="X204" s="264" t="str">
        <x:f>IF(B204="","",MAX(0,U204-V204))</x:f>
      </x:c>
      <x:c r="Y204" s="258" t="str">
        <x:f>IF(B204="","",IF(E204&lt;=0,0,IF(T204&gt;0,3,IF(O204&gt;0,2,1))))</x:f>
      </x:c>
      <x:c r="Z204" s="1"/>
      <x:c r="AA204" s="1"/>
      <x:c r="AB204" s="1"/>
      <x:c r="AC204" s="1"/>
      <x:c r="AD204" s="1"/>
      <x:c r="AE204" s="1"/>
    </x:row>
  </x:sheetData>
  <x:mergeCells>
    <x:mergeCell ref="A1:Y1"/>
    <x:mergeCell ref="A2:Y2"/>
    <x:mergeCell ref="A3:A4"/>
    <x:mergeCell ref="B3:B4"/>
    <x:mergeCell ref="C3:C4"/>
    <x:mergeCell ref="D3:D4"/>
    <x:mergeCell ref="E3:E4"/>
    <x:mergeCell ref="F3:J3"/>
    <x:mergeCell ref="K3:O3"/>
    <x:mergeCell ref="P3:T3"/>
    <x:mergeCell ref="U3:X3"/>
    <x:mergeCell ref="Y3:Y4"/>
  </x:mergeCells>
  <x:conditionalFormatting sqref="E5:E204">
    <x:cfRule type="cellIs" dxfId="4" priority="1" operator="greaterThan">
      <x:formula>0</x:formula>
    </x:cfRule>
  </x:conditionalFormatting>
  <x:conditionalFormatting sqref="J5:J204">
    <x:cfRule type="cellIs" dxfId="5" priority="2" operator="greaterThan">
      <x:formula>0</x:formula>
    </x:cfRule>
  </x:conditionalFormatting>
  <x:conditionalFormatting sqref="O5:O204">
    <x:cfRule type="cellIs" dxfId="6" priority="3" operator="greaterThan">
      <x:formula>0</x:formula>
    </x:cfRule>
  </x:conditionalFormatting>
  <x:conditionalFormatting sqref="T5:T204">
    <x:cfRule type="cellIs" dxfId="7" priority="4" operator="greaterThan">
      <x:formula>0</x:formula>
    </x:cfRule>
  </x:conditionalFormatting>
  <x:conditionalFormatting sqref="X5:X204">
    <x:cfRule type="cellIs" dxfId="8" priority="5" operator="greaterThan">
      <x:formula>0</x:formula>
    </x:cfRule>
  </x:conditionalFormatting>
  <x:dataValidations count="3">
    <x:dataValidation type="list" sqref="I5:I204">
      <x:formula1>"계좌,카드,자동이체,현금,기타"</x:formula1>
    </x:dataValidation>
    <x:dataValidation type="list" sqref="N5:N204">
      <x:formula1>"계좌,카드,자동이체,현금,기타"</x:formula1>
    </x:dataValidation>
    <x:dataValidation type="list" sqref="S5:S204">
      <x:formula1>"계좌,카드,자동이체,현금,기타"</x:formula1>
    </x:dataValidation>
  </x:dataValidations>
  <x:pageMargins left="0.7" right="0.7" top="0.75" bottom="0.75" header="0.3" footer="0.3"/>
</x:worksheet>
</file>